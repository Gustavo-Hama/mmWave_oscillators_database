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mag\Nextcloud\Documents\TIMA\Doutorado\SOA\mmW_VCO_database\"/>
    </mc:Choice>
  </mc:AlternateContent>
  <xr:revisionPtr revIDLastSave="0" documentId="13_ncr:1_{E2607480-BB76-483B-B4EF-24B7B08D4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papers" sheetId="1" r:id="rId1"/>
    <sheet name="Plot examples" sheetId="2" r:id="rId2"/>
  </sheets>
  <definedNames>
    <definedName name="_xlnm._FilterDatabase" localSheetId="0" hidden="1">'List of papers'!$A$1:$Z$96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2" i="1" l="1"/>
  <c r="Y102" i="1"/>
  <c r="Z102" i="1"/>
  <c r="U102" i="1"/>
  <c r="Z101" i="1"/>
  <c r="Y101" i="1"/>
  <c r="X101" i="1"/>
  <c r="U101" i="1"/>
  <c r="Z100" i="1"/>
  <c r="Y100" i="1"/>
  <c r="X100" i="1"/>
  <c r="U100" i="1"/>
  <c r="X99" i="1"/>
  <c r="Y99" i="1"/>
  <c r="Z99" i="1"/>
  <c r="U99" i="1"/>
  <c r="X98" i="1"/>
  <c r="Y98" i="1"/>
  <c r="Z98" i="1"/>
  <c r="U98" i="1"/>
  <c r="X97" i="1"/>
  <c r="Y97" i="1"/>
  <c r="Z97" i="1"/>
  <c r="Z96" i="1"/>
  <c r="Y96" i="1"/>
  <c r="X96" i="1"/>
  <c r="Z95" i="1"/>
  <c r="X95" i="1"/>
  <c r="M95" i="1"/>
  <c r="X94" i="1"/>
  <c r="U94" i="1"/>
  <c r="O94" i="1"/>
  <c r="M94" i="1"/>
  <c r="X93" i="1"/>
  <c r="U93" i="1"/>
  <c r="O93" i="1"/>
  <c r="M93" i="1"/>
  <c r="Z92" i="1"/>
  <c r="Y92" i="1"/>
  <c r="X92" i="1"/>
  <c r="U92" i="1"/>
  <c r="Z91" i="1"/>
  <c r="Y91" i="1"/>
  <c r="X91" i="1"/>
  <c r="U91" i="1"/>
  <c r="M91" i="1"/>
  <c r="X90" i="1"/>
  <c r="U90" i="1"/>
  <c r="O90" i="1"/>
  <c r="M90" i="1"/>
  <c r="Z89" i="1"/>
  <c r="Y89" i="1"/>
  <c r="X89" i="1"/>
  <c r="U89" i="1"/>
  <c r="L89" i="1"/>
  <c r="Z88" i="1"/>
  <c r="Y88" i="1"/>
  <c r="X88" i="1"/>
  <c r="U88" i="1"/>
  <c r="M88" i="1"/>
  <c r="Z87" i="1"/>
  <c r="Y87" i="1"/>
  <c r="X87" i="1"/>
  <c r="U87" i="1"/>
  <c r="X86" i="1"/>
  <c r="U86" i="1"/>
  <c r="O86" i="1"/>
  <c r="M86" i="1"/>
  <c r="L86" i="1"/>
  <c r="Z85" i="1"/>
  <c r="Y85" i="1"/>
  <c r="X85" i="1"/>
  <c r="U85" i="1"/>
  <c r="Z84" i="1"/>
  <c r="X84" i="1"/>
  <c r="Z83" i="1"/>
  <c r="Y83" i="1"/>
  <c r="X83" i="1"/>
  <c r="U83" i="1"/>
  <c r="M83" i="1"/>
  <c r="Z82" i="1"/>
  <c r="Y82" i="1"/>
  <c r="X82" i="1"/>
  <c r="Z81" i="1"/>
  <c r="Y81" i="1"/>
  <c r="X81" i="1"/>
  <c r="L81" i="1"/>
  <c r="Z80" i="1"/>
  <c r="Y80" i="1"/>
  <c r="X80" i="1"/>
  <c r="Z79" i="1"/>
  <c r="Y79" i="1"/>
  <c r="X79" i="1"/>
  <c r="U78" i="1"/>
  <c r="M78" i="1"/>
  <c r="Z77" i="1"/>
  <c r="Y77" i="1"/>
  <c r="X77" i="1"/>
  <c r="Z76" i="1"/>
  <c r="Y76" i="1"/>
  <c r="X76" i="1"/>
  <c r="X75" i="1"/>
  <c r="U75" i="1"/>
  <c r="O75" i="1"/>
  <c r="X74" i="1"/>
  <c r="U74" i="1"/>
  <c r="O74" i="1"/>
  <c r="X73" i="1"/>
  <c r="U73" i="1"/>
  <c r="O73" i="1"/>
  <c r="M73" i="1"/>
  <c r="Z72" i="1"/>
  <c r="Y72" i="1"/>
  <c r="X72" i="1"/>
  <c r="U72" i="1"/>
  <c r="Z71" i="1"/>
  <c r="Y71" i="1"/>
  <c r="X71" i="1"/>
  <c r="U71" i="1"/>
  <c r="M71" i="1"/>
  <c r="Z70" i="1"/>
  <c r="Y70" i="1"/>
  <c r="X70" i="1"/>
  <c r="U70" i="1"/>
  <c r="Z69" i="1"/>
  <c r="Y69" i="1"/>
  <c r="X69" i="1"/>
  <c r="U69" i="1"/>
  <c r="Z68" i="1"/>
  <c r="Y68" i="1"/>
  <c r="X68" i="1"/>
  <c r="Z67" i="1"/>
  <c r="Y67" i="1"/>
  <c r="X67" i="1"/>
  <c r="U67" i="1"/>
  <c r="M67" i="1"/>
  <c r="L67" i="1"/>
  <c r="Y66" i="1"/>
  <c r="X66" i="1"/>
  <c r="U66" i="1"/>
  <c r="Q66" i="1"/>
  <c r="Z66" i="1" s="1"/>
  <c r="Z65" i="1"/>
  <c r="Y65" i="1"/>
  <c r="X65" i="1"/>
  <c r="U65" i="1"/>
  <c r="M65" i="1"/>
  <c r="Z64" i="1"/>
  <c r="Y64" i="1"/>
  <c r="X64" i="1"/>
  <c r="U64" i="1"/>
  <c r="Z63" i="1"/>
  <c r="Y63" i="1"/>
  <c r="X63" i="1"/>
  <c r="U63" i="1"/>
  <c r="Z62" i="1"/>
  <c r="Y62" i="1"/>
  <c r="X62" i="1"/>
  <c r="U62" i="1"/>
  <c r="M62" i="1"/>
  <c r="Z61" i="1"/>
  <c r="Y61" i="1"/>
  <c r="X61" i="1"/>
  <c r="U61" i="1"/>
  <c r="Z60" i="1"/>
  <c r="Y60" i="1"/>
  <c r="X60" i="1"/>
  <c r="U60" i="1"/>
  <c r="Z59" i="1"/>
  <c r="Y59" i="1"/>
  <c r="X59" i="1"/>
  <c r="U59" i="1"/>
  <c r="Z58" i="1"/>
  <c r="Y58" i="1"/>
  <c r="X58" i="1"/>
  <c r="U58" i="1"/>
  <c r="M58" i="1"/>
  <c r="Z57" i="1"/>
  <c r="Y57" i="1"/>
  <c r="X57" i="1"/>
  <c r="S57" i="1"/>
  <c r="U57" i="1" s="1"/>
  <c r="M57" i="1"/>
  <c r="Z56" i="1"/>
  <c r="Y56" i="1"/>
  <c r="X56" i="1"/>
  <c r="T56" i="1"/>
  <c r="U56" i="1" s="1"/>
  <c r="M56" i="1"/>
  <c r="Z55" i="1"/>
  <c r="Y55" i="1"/>
  <c r="X55" i="1"/>
  <c r="U55" i="1"/>
  <c r="Y54" i="1"/>
  <c r="X54" i="1"/>
  <c r="Q54" i="1"/>
  <c r="Z54" i="1" s="1"/>
  <c r="Z53" i="1"/>
  <c r="Y53" i="1"/>
  <c r="X53" i="1"/>
  <c r="L53" i="1"/>
  <c r="X52" i="1"/>
  <c r="O52" i="1"/>
  <c r="Z51" i="1"/>
  <c r="Y51" i="1"/>
  <c r="X51" i="1"/>
  <c r="U51" i="1"/>
  <c r="S51" i="1"/>
  <c r="Z50" i="1"/>
  <c r="Y50" i="1"/>
  <c r="X50" i="1"/>
  <c r="U50" i="1"/>
  <c r="M50" i="1"/>
  <c r="L50" i="1"/>
  <c r="Z49" i="1"/>
  <c r="Y49" i="1"/>
  <c r="X49" i="1"/>
  <c r="U49" i="1"/>
  <c r="Z48" i="1"/>
  <c r="Y48" i="1"/>
  <c r="X48" i="1"/>
  <c r="U48" i="1"/>
  <c r="X47" i="1"/>
  <c r="U47" i="1"/>
  <c r="O47" i="1"/>
  <c r="Z46" i="1"/>
  <c r="Y46" i="1"/>
  <c r="X46" i="1"/>
  <c r="Z45" i="1"/>
  <c r="Y45" i="1"/>
  <c r="X45" i="1"/>
  <c r="U45" i="1"/>
  <c r="Z44" i="1"/>
  <c r="Y44" i="1"/>
  <c r="X44" i="1"/>
  <c r="S44" i="1"/>
  <c r="U44" i="1" s="1"/>
  <c r="M44" i="1"/>
  <c r="Z43" i="1"/>
  <c r="Y43" i="1"/>
  <c r="X43" i="1"/>
  <c r="U43" i="1"/>
  <c r="Z42" i="1"/>
  <c r="Y42" i="1"/>
  <c r="X42" i="1"/>
  <c r="U42" i="1"/>
  <c r="Y41" i="1"/>
  <c r="X41" i="1"/>
  <c r="Q41" i="1"/>
  <c r="Z41" i="1" s="1"/>
  <c r="L41" i="1"/>
  <c r="Z40" i="1"/>
  <c r="Y40" i="1"/>
  <c r="X40" i="1"/>
  <c r="Z39" i="1"/>
  <c r="Y39" i="1"/>
  <c r="X39" i="1"/>
  <c r="U39" i="1"/>
  <c r="M39" i="1"/>
  <c r="X38" i="1"/>
  <c r="U38" i="1"/>
  <c r="O38" i="1"/>
  <c r="Z37" i="1"/>
  <c r="Y37" i="1"/>
  <c r="X37" i="1"/>
  <c r="U37" i="1"/>
  <c r="Z36" i="1"/>
  <c r="Y36" i="1"/>
  <c r="X36" i="1"/>
  <c r="U36" i="1"/>
  <c r="Z35" i="1"/>
  <c r="Y35" i="1"/>
  <c r="X35" i="1"/>
  <c r="U35" i="1"/>
  <c r="Z34" i="1"/>
  <c r="Y34" i="1"/>
  <c r="X34" i="1"/>
  <c r="U34" i="1"/>
  <c r="L34" i="1"/>
  <c r="X33" i="1"/>
  <c r="U33" i="1"/>
  <c r="O33" i="1"/>
  <c r="Z32" i="1"/>
  <c r="Y32" i="1"/>
  <c r="X32" i="1"/>
  <c r="X31" i="1"/>
  <c r="U31" i="1"/>
  <c r="O31" i="1"/>
  <c r="M31" i="1"/>
  <c r="L31" i="1"/>
  <c r="X30" i="1"/>
  <c r="O30" i="1"/>
  <c r="Z29" i="1"/>
  <c r="Y29" i="1"/>
  <c r="X29" i="1"/>
  <c r="U29" i="1"/>
  <c r="Z28" i="1"/>
  <c r="Y28" i="1"/>
  <c r="X28" i="1"/>
  <c r="M28" i="1"/>
  <c r="Z27" i="1"/>
  <c r="Y27" i="1"/>
  <c r="X27" i="1"/>
  <c r="U27" i="1"/>
  <c r="Z26" i="1"/>
  <c r="Y26" i="1"/>
  <c r="X26" i="1"/>
  <c r="U26" i="1"/>
  <c r="Z25" i="1"/>
  <c r="Y25" i="1"/>
  <c r="X25" i="1"/>
  <c r="Z24" i="1"/>
  <c r="Y24" i="1"/>
  <c r="X24" i="1"/>
  <c r="U24" i="1"/>
  <c r="Z23" i="1"/>
  <c r="Y23" i="1"/>
  <c r="X23" i="1"/>
  <c r="U23" i="1"/>
  <c r="M23" i="1"/>
  <c r="X22" i="1"/>
  <c r="U22" i="1"/>
  <c r="O22" i="1"/>
  <c r="Z21" i="1"/>
  <c r="Y21" i="1"/>
  <c r="X21" i="1"/>
  <c r="U21" i="1"/>
  <c r="M21" i="1"/>
  <c r="Z20" i="1"/>
  <c r="Y20" i="1"/>
  <c r="X20" i="1"/>
  <c r="U20" i="1"/>
  <c r="M20" i="1"/>
  <c r="X19" i="1"/>
  <c r="U19" i="1"/>
  <c r="Z18" i="1"/>
  <c r="Y18" i="1"/>
  <c r="X18" i="1"/>
  <c r="U18" i="1"/>
  <c r="X17" i="1"/>
  <c r="U17" i="1"/>
  <c r="Z16" i="1"/>
  <c r="Y16" i="1"/>
  <c r="X16" i="1"/>
  <c r="U16" i="1"/>
  <c r="M16" i="1"/>
  <c r="L16" i="1"/>
  <c r="Z15" i="1"/>
  <c r="Y15" i="1"/>
  <c r="X15" i="1"/>
  <c r="U15" i="1"/>
  <c r="X14" i="1"/>
  <c r="O14" i="1"/>
  <c r="X13" i="1"/>
  <c r="O13" i="1"/>
  <c r="Z12" i="1"/>
  <c r="Y12" i="1"/>
  <c r="X12" i="1"/>
  <c r="Z11" i="1"/>
  <c r="Y11" i="1"/>
  <c r="X11" i="1"/>
  <c r="M11" i="1"/>
  <c r="Z10" i="1"/>
  <c r="Y10" i="1"/>
  <c r="X10" i="1"/>
  <c r="U10" i="1"/>
  <c r="M10" i="1"/>
  <c r="Z9" i="1"/>
  <c r="Y9" i="1"/>
  <c r="X9" i="1"/>
  <c r="U9" i="1"/>
  <c r="Z8" i="1"/>
  <c r="Y8" i="1"/>
  <c r="X8" i="1"/>
  <c r="U8" i="1"/>
  <c r="Z7" i="1"/>
  <c r="Y7" i="1"/>
  <c r="X7" i="1"/>
  <c r="U7" i="1"/>
  <c r="Z6" i="1"/>
  <c r="Y6" i="1"/>
  <c r="X6" i="1"/>
  <c r="U6" i="1"/>
  <c r="L6" i="1"/>
  <c r="Z5" i="1"/>
  <c r="Y5" i="1"/>
  <c r="X5" i="1"/>
  <c r="U5" i="1"/>
  <c r="Z4" i="1"/>
  <c r="Y4" i="1"/>
  <c r="X4" i="1"/>
  <c r="U4" i="1"/>
  <c r="M4" i="1"/>
  <c r="Z3" i="1"/>
  <c r="Y3" i="1"/>
  <c r="X3" i="1"/>
  <c r="U3" i="1"/>
  <c r="Z2" i="1"/>
  <c r="Y2" i="1"/>
  <c r="X2" i="1"/>
  <c r="U2" i="1"/>
  <c r="Z94" i="1" l="1"/>
  <c r="Y94" i="1"/>
  <c r="Z93" i="1"/>
  <c r="Y93" i="1"/>
  <c r="Y90" i="1"/>
  <c r="Z90" i="1"/>
  <c r="Z86" i="1"/>
  <c r="Y86" i="1"/>
  <c r="Z75" i="1"/>
  <c r="Y75" i="1"/>
  <c r="Z74" i="1"/>
  <c r="Y74" i="1"/>
  <c r="Y73" i="1"/>
  <c r="Z73" i="1"/>
  <c r="Y52" i="1"/>
  <c r="Q52" i="1"/>
  <c r="Z52" i="1" s="1"/>
  <c r="Z47" i="1"/>
  <c r="Y47" i="1"/>
  <c r="Z38" i="1"/>
  <c r="Y38" i="1"/>
  <c r="Z33" i="1"/>
  <c r="Y33" i="1"/>
  <c r="Z31" i="1"/>
  <c r="Y31" i="1"/>
  <c r="Z30" i="1"/>
  <c r="Y30" i="1"/>
  <c r="Y22" i="1"/>
  <c r="Z22" i="1"/>
  <c r="Z14" i="1"/>
  <c r="Y14" i="1"/>
  <c r="Y13" i="1"/>
  <c r="Z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tc={00C10032-00C3-40CD-A151-0096006000FD}</author>
    <author>tc={0082003E-00D8-4089-9F0F-00FF008D0090}</author>
    <author>tc={00CA00B3-00AF-4339-B191-0074002D0014}</author>
    <author>tc={004A0047-00E8-438B-B714-00AA00B3003C}</author>
    <author>tc={00F9001B-00FE-48C7-A64C-00A300D300CF}</author>
    <author>tc={007400B6-0011-4E44-9B9B-003000730010}</author>
    <author>tc={00FC00B4-005C-43F2-A61A-0084001E00F7}</author>
    <author>tc={005F0037-00A4-4C23-80F2-00F000740033}</author>
    <author>tc={00680022-001E-493A-AE32-000300DD00E1}</author>
    <author>tc={0066007A-002B-4997-8E1E-00A800C500D9}</author>
    <author>tc={00C8006C-00B6-4CE0-AA3A-0005005F00C1}</author>
    <author>tc={002000D8-00D4-439D-B585-006800E60030}</author>
    <author>tc={00520035-00DB-4D7C-AD69-00BC008700A1}</author>
    <author>tc={00A20000-0006-428E-89FE-007B00A90025}</author>
    <author>tc={004B005B-006D-40D3-A9E9-00F1006400DB}</author>
    <author>tc={00AC00B5-00F5-43B3-BF05-007A00E600F8}</author>
    <author>tc={007700C8-0044-4C44-AF2A-0044003E0098}</author>
    <author>tc={003800B1-0081-4373-AFE2-000400530077}</author>
    <author>tc={00B4003B-001B-4B5D-B351-00E400B900B8}</author>
    <author>tc={00740023-0050-4301-9A72-0051001A00CF}</author>
    <author>tc={006D007B-0039-4253-8BD8-004800350083}</author>
    <author>tc={00B10013-005E-42D6-BAA7-00AF000300A2}</author>
    <author>tc={003300E1-00D1-4972-8B05-0076000500C2}</author>
    <author>tc={00150049-007B-4B66-AF6A-0036008B0043}</author>
    <author>tc={006C00CC-00F9-4D8B-8501-008A005C0063}</author>
    <author>tc={002D001B-005C-4713-9FCD-006F00B3009D}</author>
    <author>tc={00590006-00CE-4146-9FBF-00A30093002E}</author>
    <author>tc={006A0045-00DB-469B-A1F5-003A00B8008F}</author>
    <author>tc={00E200C0-0073-4655-BABA-002B004400F9}</author>
    <author>tc={0083006E-002E-41E6-ABD4-001300E800AE}</author>
    <author>tc={009A00FD-000B-4DD7-B6CC-00F700790076}</author>
    <author>tc={003F00AA-00CB-4E6E-BA24-001B0022000C}</author>
    <author>tc={000F0048-003B-4DC0-B692-004D00CD0085}</author>
    <author>tc={0072005B-00F4-40DA-AE73-003100EB00AD}</author>
    <author>tc={009B00ED-0060-48E3-A97F-0098009F0032}</author>
    <author>tc={006B0069-0009-445F-B3B8-00C00084000D}</author>
    <author>tc={005D00D9-00FC-4850-AF75-00520084002C}</author>
    <author>tc={00E6001E-00F5-4AAD-864D-004000B800BF}</author>
    <author>tc={009F0079-0083-4DED-B3C1-006100CF00D6}</author>
    <author>tc={00CB00FF-00E7-4688-B21F-009600FD0049}</author>
    <author>tc={001300EE-00F3-4BB0-99BB-00AA00350072}</author>
    <author>tc={0096007C-006F-41E9-BEC3-00B4000800BD}</author>
    <author>tc={00A5008A-00E4-4435-861C-0074004A00D5}</author>
    <author>tc={00E900C2-00EE-49C4-87EF-00B900E900F4}</author>
    <author>tc={00EA002A-00B3-49ED-B4CE-007700D20019}</author>
    <author>tc={003100A1-00E3-4C84-A1CA-00B100C10013}</author>
    <author>tc={001700AF-00D3-415A-8396-00880068001A}</author>
    <author>tc={006D004B-00F1-4128-BA69-007700FC004E}</author>
    <author>tc={00F7007A-00CC-45C5-97D8-000D00FC000D}</author>
    <author>tc={00610070-00EB-4D54-AFF6-002B00E00039}</author>
    <author>tc={0065003A-000C-4239-8C40-00A300300070}</author>
    <author>tc={00220051-008B-4B93-85E3-008400C500B1}</author>
    <author>tc={00FB00CA-0073-4A59-95DE-00F80020000A}</author>
    <author>tc={00750083-00D1-4E2C-8B7B-005800A800F7}</author>
    <author>tc={00C3006D-0031-44CC-9172-00EA00A400B3}</author>
    <author>tc={00A200BB-00E0-461C-95C0-00BD00CC0045}</author>
    <author>tc={00F6007D-0020-4243-B79A-00D7000800AD}</author>
    <author>tc={00710054-0088-4098-BE2A-001B006700C4}</author>
    <author>tc={00A300F1-001D-4855-A4CD-00C900CC00E8}</author>
    <author>tc={006B002D-006C-48CA-963D-002500E10057}</author>
    <author>tc={E80CD336-E602-49C5-8915-0A7EE86690F9}</author>
    <author>tc={535D1BA5-778F-4DA6-8BEA-A2E1949A80B1}</author>
    <author>tc={2C8311BA-9217-409C-BE0B-7DC7F832D7E5}</author>
    <author>tc={D9448BAA-F5B0-4321-90C2-A9D51981A62E}</author>
    <author>tc={7AE7CF57-1275-4D06-A200-1594B54FC832}</author>
  </authors>
  <commentList>
    <comment ref="L2" authorId="0" shapeId="0" xr:uid="{00C10032-00C3-40CD-A151-0096006000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6" authorId="1" shapeId="0" xr:uid="{0082003E-00D8-4089-9F0F-00FF008D00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Calculated from eff.
</t>
      </text>
    </comment>
    <comment ref="L7" authorId="2" shapeId="0" xr:uid="{00CA00B3-00AF-4339-B191-0074002D00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7" authorId="3" shapeId="0" xr:uid="{004A0047-00E8-438B-B714-00AA00B300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L9" authorId="4" shapeId="0" xr:uid="{00F9001B-00FE-48C7-A64C-00A300D300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14" authorId="5" shapeId="0" xr:uid="{007400B6-0011-4E44-9B9B-0030007300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15" authorId="6" shapeId="0" xr:uid="{00FC00B4-005C-43F2-A61A-0084001E0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R17" authorId="7" shapeId="0" xr:uid="{005F0037-00A4-4C23-80F2-00F000740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R19" authorId="8" shapeId="0" xr:uid="{00680022-001E-493A-AE32-000300DD00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R20" authorId="9" shapeId="0" xr:uid="{0066007A-002B-4997-8E1E-00A800C500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  <comment ref="L21" authorId="10" shapeId="0" xr:uid="{00C8006C-00B6-4CE0-AA3A-0005005F00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22" authorId="11" shapeId="0" xr:uid="{002000D8-00D4-439D-B585-006800E600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23" authorId="12" shapeId="0" xr:uid="{00520035-00DB-4D7C-AD69-00BC00870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31" authorId="13" shapeId="0" xr:uid="{00A20000-0006-428E-89FE-007B00A900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31" authorId="14" shapeId="0" xr:uid="{004B005B-006D-40D3-A9E9-00F1006400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34 mW from doubler
</t>
      </text>
    </comment>
    <comment ref="L33" authorId="15" shapeId="0" xr:uid="{00AC00B5-00F5-43B3-BF05-007A00E600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34" authorId="16" shapeId="0" xr:uid="{007700C8-0044-4C44-AF2A-0044003E00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  <comment ref="R39" authorId="17" shapeId="0" xr:uid="{003800B1-0081-4373-AFE2-0004005300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  <comment ref="L43" authorId="18" shapeId="0" xr:uid="{00B4003B-001B-4B5D-B351-00E400B900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L45" authorId="19" shapeId="0" xr:uid="{00740023-0050-4301-9A72-0051001A00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47" authorId="20" shapeId="0" xr:uid="{006D007B-0039-4253-8BD8-0048003500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M47" authorId="21" shapeId="0" xr:uid="{00B10013-005E-42D6-BAA7-00AF000300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R47" authorId="22" shapeId="0" xr:uid="{003300E1-00D1-4972-8B05-007600050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L48" authorId="23" shapeId="0" xr:uid="{00150049-007B-4B66-AF6A-0036008B00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48" authorId="24" shapeId="0" xr:uid="{006C00CC-00F9-4D8B-8501-008A005C00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L51" authorId="25" shapeId="0" xr:uid="{002D001B-005C-4713-9FCD-006F00B30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52" authorId="26" shapeId="0" xr:uid="{00590006-00CE-4146-9FBF-00A3009300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53" authorId="27" shapeId="0" xr:uid="{006A0045-00DB-469B-A1F5-003A00B8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56" authorId="28" shapeId="0" xr:uid="{00E200C0-0073-4655-BABA-002B00440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59" authorId="29" shapeId="0" xr:uid="{0083006E-002E-41E6-ABD4-001300E800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61" authorId="30" shapeId="0" xr:uid="{009A00FD-000B-4DD7-B6CC-00F7007900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62" authorId="31" shapeId="0" xr:uid="{003F00AA-00CB-4E6E-BA24-001B0022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65" authorId="32" shapeId="0" xr:uid="{000F0048-003B-4DC0-B692-004D00CD00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consumption reported
</t>
      </text>
    </comment>
    <comment ref="L66" authorId="33" shapeId="0" xr:uid="{0072005B-00F4-40DA-AE73-003100EB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67" authorId="34" shapeId="0" xr:uid="{009B00ED-0060-48E3-A97F-0098009F00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71" authorId="35" shapeId="0" xr:uid="{006B0069-0009-445F-B3B8-00C00084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power density
</t>
      </text>
    </comment>
    <comment ref="L72" authorId="36" shapeId="0" xr:uid="{005D00D9-00FC-4850-AF75-0052008400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73" authorId="37" shapeId="0" xr:uid="{00E6001E-00F5-4AAD-864D-004000B80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Core Pdc not reported
</t>
      </text>
    </comment>
    <comment ref="L74" authorId="38" shapeId="0" xr:uid="{009F0079-0083-4DED-B3C1-006100CF00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R74" authorId="39" shapeId="0" xr:uid="{00CB00FF-00E7-4688-B21F-009600FD0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not reported separately
</t>
      </text>
    </comment>
    <comment ref="W74" authorId="40" shapeId="0" xr:uid="{001300EE-00F3-4BB0-99BB-00AA00350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L75" authorId="41" shapeId="0" xr:uid="{0096007C-006F-41E9-BEC3-00B4000800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78" authorId="42" shapeId="0" xr:uid="{00A5008A-00E4-4435-861C-0074004A00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79" authorId="43" shapeId="0" xr:uid="{00E900C2-00EE-49C4-87EF-00B900E900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81" authorId="44" shapeId="0" xr:uid="{00EA002A-00B3-49ED-B4CE-007700D200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R81" authorId="45" shapeId="0" xr:uid="{003100A1-00E3-4C84-A1CA-00B100C10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quadrupler (7mW)
</t>
      </text>
    </comment>
    <comment ref="L83" authorId="46" shapeId="0" xr:uid="{001700AF-00D3-415A-8396-0088006800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85" authorId="47" shapeId="0" xr:uid="{006D004B-00F1-4128-BA69-007700FC00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86" authorId="48" shapeId="0" xr:uid="{00F7007A-00CC-45C5-97D8-000D00FC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88" authorId="49" shapeId="0" xr:uid="{00610070-00EB-4D54-AFF6-002B00E0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89" authorId="50" shapeId="0" xr:uid="{0065003A-000C-4239-8C40-00A3003000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Core Pdc not reported
</t>
      </text>
    </comment>
    <comment ref="L90" authorId="51" shapeId="0" xr:uid="{00220051-008B-4B93-85E3-008400C500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91" authorId="52" shapeId="0" xr:uid="{00FB00CA-0073-4A59-95DE-00F8002000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92" authorId="53" shapeId="0" xr:uid="{00750083-00D1-4E2C-8B7B-005800A80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  <comment ref="L93" authorId="54" shapeId="0" xr:uid="{00C3006D-0031-44CC-9172-00EA00A40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94" authorId="55" shapeId="0" xr:uid="{00A200BB-00E0-461C-95C0-00BD00CC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Gustavo Hama:
estimated
</t>
      </text>
    </comment>
    <comment ref="R94" authorId="56" shapeId="0" xr:uid="{00F6007D-0020-4243-B79A-00D70008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Doubler: 
3.6 mW 
</t>
      </text>
    </comment>
    <comment ref="W94" authorId="57" shapeId="0" xr:uid="{00710054-0088-4098-BE2A-001B00670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Doubler included  6 dB of PN
</t>
      </text>
    </comment>
    <comment ref="L95" authorId="58" shapeId="0" xr:uid="{00A300F1-001D-4855-A4CD-00C900CC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L96" authorId="59" shapeId="0" xr:uid="{006B002D-006C-48CA-963D-002500E100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M97" authorId="60" shapeId="0" xr:uid="{E80CD336-E602-49C5-8915-0A7EE8669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97" authorId="61" shapeId="0" xr:uid="{535D1BA5-778F-4DA6-8BEA-A2E1949A8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total power reported
From 6.8 mW to 9.9 mW</t>
      </text>
    </comment>
    <comment ref="R98" authorId="62" shapeId="0" xr:uid="{2C8311BA-9217-409C-BE0B-7DC7F832D7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  <comment ref="L99" authorId="63" shapeId="0" xr:uid="{D9448BAA-F5B0-4321-90C2-A9D51981A6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
</t>
      </text>
    </comment>
    <comment ref="R101" authorId="64" shapeId="0" xr:uid="{7AE7CF57-1275-4D06-A200-1594B54FC8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total power reported
</t>
      </text>
    </comment>
  </commentList>
</comments>
</file>

<file path=xl/sharedStrings.xml><?xml version="1.0" encoding="utf-8"?>
<sst xmlns="http://schemas.openxmlformats.org/spreadsheetml/2006/main" count="1240" uniqueCount="383">
  <si>
    <t>DOI</t>
  </si>
  <si>
    <t>Title</t>
  </si>
  <si>
    <t>Main claim</t>
  </si>
  <si>
    <t>Where</t>
  </si>
  <si>
    <t>Year</t>
  </si>
  <si>
    <t>Tech. Node</t>
  </si>
  <si>
    <t>Process Technology</t>
  </si>
  <si>
    <t>Tech. ft
(GHz)</t>
  </si>
  <si>
    <t>Tech. fmax
(GHz)</t>
  </si>
  <si>
    <t>Buffers?</t>
  </si>
  <si>
    <t>No. cores</t>
  </si>
  <si>
    <t>Core area (mm²)</t>
  </si>
  <si>
    <t>Chip area
(mm²)</t>
  </si>
  <si>
    <t>Fundamental oscillator?</t>
  </si>
  <si>
    <t>fosc
(GHz)</t>
  </si>
  <si>
    <t>Continuous?</t>
  </si>
  <si>
    <t xml:space="preserve"> FTR
(%)</t>
  </si>
  <si>
    <t>PDC
(mW)</t>
  </si>
  <si>
    <t>Total PDC
(mW)</t>
  </si>
  <si>
    <t>Pout
(dBm)</t>
  </si>
  <si>
    <t>Efficiency
(%)</t>
  </si>
  <si>
    <t>∆f
(MHz)</t>
  </si>
  <si>
    <t>PN@
∆f
(dBc/Hz)</t>
  </si>
  <si>
    <t>PN@
 10 MHz
(dBc/Hz)</t>
  </si>
  <si>
    <t>FOM@ 10 MHz
(dBc/Hz)</t>
  </si>
  <si>
    <t>FOMt@ 10 MHz
(dBc/Hz)</t>
  </si>
  <si>
    <t>10.1109/TTHZ.2025.3594907</t>
  </si>
  <si>
    <t>A 0.3-THz Reflection-Based Harmonic Enhanced Push-Push VCO With 2.3-MW POUT in 130-Nm SiGe BiCMOS Technology</t>
  </si>
  <si>
    <t>Common-mode short-circuit total reflection for harmonic enhancement using transmission lines and grounding capacitors, plus a broadband π-matching network</t>
  </si>
  <si>
    <t>Transactions on Terahertz Science and Technology</t>
  </si>
  <si>
    <t>130-nm</t>
  </si>
  <si>
    <t>SiGe</t>
  </si>
  <si>
    <t>n.r.</t>
  </si>
  <si>
    <t>Bufferless</t>
  </si>
  <si>
    <t>Singlecore</t>
  </si>
  <si>
    <t>Non-fundamental</t>
  </si>
  <si>
    <t>Continuous</t>
  </si>
  <si>
    <t>10.1109/TTHZ.2025.3532157</t>
  </si>
  <si>
    <t>A 225-GHz Coupled Harmonic Oscillator With −179 dBc/Hz FoM in 65-nm CMOS</t>
  </si>
  <si>
    <t>Optimization of second-harmonic generation using a piecewise linear model with a phase factor, combined with an 8-core coupling scheme and star power combination to enhance phase noise and output power.</t>
  </si>
  <si>
    <t>65-nm</t>
  </si>
  <si>
    <t>CMOS</t>
  </si>
  <si>
    <t>Multicore</t>
  </si>
  <si>
    <t>10.1109/LMWT.2025.3546162</t>
  </si>
  <si>
    <t>A 206–220-GHz Compact Fundamental Oscillator With up to 7-dBm Output Power and 7.4% Peak DC-to-RF Efficiency in a 130-nm SiGe Technology</t>
  </si>
  <si>
    <t>Fundamental cascode Colpitts oscillator using base inductors at the CB stage to provide inductive loading to the CE stage, boosting output power by 27% and achieving high efficiency in a compact core.</t>
  </si>
  <si>
    <t>Microwave and Wireless Technology Letters</t>
  </si>
  <si>
    <t>Fundamental</t>
  </si>
  <si>
    <t>10.1109/RFIC61188.2025.11082805</t>
  </si>
  <si>
    <t>A Compact 190 GHz Push-Push Colpitts VCO in 130-nm BiCMOS with 3.5%-DC-to-RF Efficiency and 3.9-dBm Peak Output Power</t>
  </si>
  <si>
    <t>Base-QOTL (Quarter-Wavelength Open-Circuited Transmission Line) technique to boost output power and efficiency.</t>
  </si>
  <si>
    <t>RFIC Symposium</t>
  </si>
  <si>
    <t>10.1109/IMS40360.2025.11103875</t>
  </si>
  <si>
    <t>A 134 GHz High Efficiency High Power Fundamental Oscillator in 16nm P-FinFET with 12 dBm Output Power and 6.5% DC-to-RF Efficiency</t>
  </si>
  <si>
    <t>Modified embedded network with capacitive degeneration &amp; gate tuning</t>
  </si>
  <si>
    <t>MTT-S International Microwave Symposium</t>
  </si>
  <si>
    <t>16-nm</t>
  </si>
  <si>
    <t>p-FinFET</t>
  </si>
  <si>
    <t>10.1109/IMS40360.2025.11103864</t>
  </si>
  <si>
    <t>Low-Power and Low-Phase Noise 94-GHz and 107.2-GHz Differential Fundamental Oscillators in 70-nm GaAs pHEMT Technology</t>
  </si>
  <si>
    <t>Differential cross-coupled oscillator with inherently grounded source and reduced mesa dimensions to maximize oscillation frequency and FoM</t>
  </si>
  <si>
    <t>70-nm</t>
  </si>
  <si>
    <t>pHEMT</t>
  </si>
  <si>
    <t>Buffer</t>
  </si>
  <si>
    <t>10.1109/NewCAS64648.2025.11107137</t>
  </si>
  <si>
    <t>90 GHz Cryo-CMOS VCO for Enabling High Integration of Quantum Computers</t>
  </si>
  <si>
    <t>Varactorless standing wave VCO with current-controlled tuning for 4.2 K operation</t>
  </si>
  <si>
    <t>Interregional NEWCAS Conference (NEWCAS)</t>
  </si>
  <si>
    <t>10.1109/LMWT.2025.3552632</t>
  </si>
  <si>
    <t>A W-Band Low-Phase-Noise Class-F23 VCO With Common-Mode Expansion Based on a Coupling-Coexisting Transformer</t>
  </si>
  <si>
    <t>Class-F23 VCO with Coupling-Coexisting Transformer for CM Expansion</t>
  </si>
  <si>
    <t>Switched</t>
  </si>
  <si>
    <t>10.1109/ISCAS56072.2025.11044029</t>
  </si>
  <si>
    <t>A Low Phase Noise Dual Core Colpitts Push-Push type VCO at 78 GHz in 90 nm SiGe BiCMOS Technology</t>
  </si>
  <si>
    <t>Dual core with second harmonic extraction to improve phase noise</t>
  </si>
  <si>
    <t>International Symposium on Circuits and Systems (ISCAS)</t>
  </si>
  <si>
    <t>90-nm</t>
  </si>
  <si>
    <t>--</t>
  </si>
  <si>
    <t>10.1109/LSSC.2025.3578942</t>
  </si>
  <si>
    <t>A Millimeter-Wave Standing-Wave Oscillator With Frequency-Specific Wave-Velocity Control Demonstrating Class-F Effects</t>
  </si>
  <si>
    <t>Class-F Standing-Wave Oscillator (SWO) com controlo de velocidade de onda específico da frequência usando stubs abertos sintonizados harmonicamente</t>
  </si>
  <si>
    <t>Solid-State Circuits Letters</t>
  </si>
  <si>
    <t>10.1109/TMTT.2024.3439653</t>
  </si>
  <si>
    <t>A Triple-Band, High DC-to-RF Efficiency, Multicore VCO With a Dual-Path Inductor and Mode-Switching Capacitor</t>
  </si>
  <si>
    <t>Dual-path inductor to achieve triple-band</t>
  </si>
  <si>
    <t>Transactions on Microwave Theory and Techniques</t>
  </si>
  <si>
    <t>10.1109/TCSII.2025.3595599</t>
  </si>
  <si>
    <t>Design of Compact Size CMOS VCO Using Dual-Primary Transformer With Dual-Core for Wide Tuning-Range</t>
  </si>
  <si>
    <t>Dual-core VCO utilizing a dual-primary transformer (two primary windings, one secondary) to extend tuning range with compact chip area</t>
  </si>
  <si>
    <t>Transactions on Circuits and Systems II: Express Briefs</t>
  </si>
  <si>
    <t>10.1109/TCSI.2025.3583754</t>
  </si>
  <si>
    <t>A Class-F23 CMOS Oscillator With Second and Third Harmonic Resonances Expansion</t>
  </si>
  <si>
    <t>Class-F23 VCO using a three-coil transformer for DM 3rd resonance expansion and a tail two-coil transformer for CM 2nd resonance expansion to eliminate manual harmonic tuning.</t>
  </si>
  <si>
    <t>Transactions on Circuits and Systems I: Regular Papers</t>
  </si>
  <si>
    <t>10.1109/LSSC.2025.3567309</t>
  </si>
  <si>
    <t>A Wideband VCO Using a Switchable Inductance Technique and Negative Gₘ Enhancement With Positive Feedback</t>
  </si>
  <si>
    <t>Switchable inductance technique and negative Gm​ enhancement with buffer reuse (positive feedback)</t>
  </si>
  <si>
    <t>10.1109/TMTT.2024.3397463</t>
  </si>
  <si>
    <t>VCO Design With Uniformly Low Phase Noise Versus Frequency and Temperature for D-Band Applications</t>
  </si>
  <si>
    <t>Robust low phase noise vs. temperature (-40 to 200°C) at D-Band, optimized Rneg</t>
  </si>
  <si>
    <t xml:space="preserve">Transactions on Microwave Theory and Techniques </t>
  </si>
  <si>
    <t>10.1109/TMTT.2024.3363893</t>
  </si>
  <si>
    <t>Design of a Low-Phase-Noise 70-/105-GHz Dual-Band VCO With Common Mode Resonance Expansion</t>
  </si>
  <si>
    <t>Dual-band (V- and W-bands) Class-F23 VCO utilizing Common Mode (CM) resonance expansion via a multi-functional transformer to suppress flicker noise upconversion without manual harmonic tuning.</t>
  </si>
  <si>
    <t>40-nm</t>
  </si>
  <si>
    <t>10.1109/TCSI.2023.3324608</t>
  </si>
  <si>
    <t>A 76–82 GHz VCO in 65 nm CMOS With 189.3 dBc/Hz PN FOM and −0.6 dBm Harmonic Power for mm-Wave FMCW Applications</t>
  </si>
  <si>
    <t>Waveform shaping via gate transmission lines and source resonator to manipulate ISF and harmonic power</t>
  </si>
  <si>
    <t>10.23919/EuMIC61603.2024.10732280</t>
  </si>
  <si>
    <t>A Low Phase Noise VCO for 60 GHz Radar Applications with a Direct Transformer-Based Fourth Harmonic Extraction in 28 nm CMOS</t>
  </si>
  <si>
    <t>A Class-B VCO with direct transformer-based fourth harmonic (H4) extraction from the core, achieving low phase noise without excess degradation beyond theoretical scaling</t>
  </si>
  <si>
    <t>EuMIC (European Microwave Integrated Circuits Conference)</t>
  </si>
  <si>
    <t>28-nm</t>
  </si>
  <si>
    <t>10.23919/EuMIC61603.2024.10732114</t>
  </si>
  <si>
    <t>Low-Power Dual-Core Inductively Coupled 40 GHz Push-Push VCO in 22nm FDSOI CMOS</t>
  </si>
  <si>
    <t>A dual-core push-push VCO with a multifunctional passive coupling transformer that acts as an inductive coupler, bias feeder, and non-invasive H2 extractor to improve phase noise and lower power consumption.</t>
  </si>
  <si>
    <t>European Microwave Integrated Circuits Conference (EuMIC)</t>
  </si>
  <si>
    <t>22-nm</t>
  </si>
  <si>
    <t>SOI CMOS</t>
  </si>
  <si>
    <t>10.1109/JSSC.2023.3274178</t>
  </si>
  <si>
    <t>A Low-Phase-Noise VCO With Common-Mode Resonance Expansion and Intrinsic Differential 2nd-Harmonic Output Based on a Single Three-Coil Transformer</t>
  </si>
  <si>
    <t>Common-mode (CM) resonance expansion &amp; intrinsic differential 2nd-harmonic output using a single three-coil transformer (stacked 8-shape inductor)</t>
  </si>
  <si>
    <t xml:space="preserve">Journal of Solid-State Circuits </t>
  </si>
  <si>
    <t>10.1109/ASICON58565.2023.10395995</t>
  </si>
  <si>
    <t>A 293-to-303 GHz Fundamental VCO with -4dBm Peak Output Power in 40nm CMOS</t>
  </si>
  <si>
    <t>Exploits magnetic tuning for wide frequency tuning and uses differential-to-single-ended output with source degeneration to improve output power</t>
  </si>
  <si>
    <t>International Conference on ASIC (ASICON)</t>
  </si>
  <si>
    <t>10.1109/TTHZ.2022.3232767</t>
  </si>
  <si>
    <t>A 267 GHz Wide Tuning Range VCO With −3.5 dBm Peak Output Power in 40-nm CMOS</t>
  </si>
  <si>
    <t>Capacitance-splitting feedback (CSF) and Tunable source degeneration (TSD) instead of varactors</t>
  </si>
  <si>
    <t xml:space="preserve">Transactions on Terahertz Science and Technology </t>
  </si>
  <si>
    <t>10.1109/TTHZ.2022.3229663</t>
  </si>
  <si>
    <t>A 157.8–166.3 GHz Fundamental Oscillator Achieving −181.9 dBc/Hz FoM in 65 nm CMOS</t>
  </si>
  <si>
    <t>Use of magnetic tuning technique and drain-to-source transformer feedback to extend tuning range, reduce parasitics, and enhance output power.</t>
  </si>
  <si>
    <t>10.1109/TMTT.2023.3253545</t>
  </si>
  <si>
    <t>W-Band Switch-Less Reconfigurable-Push Dual-Band VCO Using Clover-Shaped Inductor and Robust Triple Cores for 6G Communications</t>
  </si>
  <si>
    <t>Switch-less reconfigurable-push (Push-push/Triple-push) using clover-shaped inductor</t>
  </si>
  <si>
    <t>10.1109/BCICTS54660.2023.10310852</t>
  </si>
  <si>
    <t>Low Phase Noise and Low Power Consumption Magnetic Cross-Coupled Push-Push VCO in SiGe BiCMOS Technology</t>
  </si>
  <si>
    <t>Magnetic cross-coupling (using a transformer) to enhance tank Q, reduce core current, and improve Phase Noise compared to capacitive cross-coupling</t>
  </si>
  <si>
    <t>BiCMOS and Compound Semiconductor Integrated Circuits and Technology Symposium (BCICTS)</t>
  </si>
  <si>
    <t>10.1109/LMWT.2023.3309275</t>
  </si>
  <si>
    <t>A 52.97–60.51-GHz Voltage-Controlled Oscillator With an 8-Shaped-Inductor-Based Triple-Coil Transformer</t>
  </si>
  <si>
    <t>Utilizes an 8-shaped-inductor-based triple-coil transformer to achieve inductive frequency coarse tuning (avoiding switched capacitor banks) while simultaneously suppressing electromagnetic (EM) interference.</t>
  </si>
  <si>
    <t xml:space="preserve">Microwave and Wireless Technology Letters </t>
  </si>
  <si>
    <t>10.1109/JSSC.2022.3196181</t>
  </si>
  <si>
    <t>A Low-Phase-Noise Quad-Core Millimeter-Wave
Fundamental VCO Using Circular Triple-Coupled
Transformer in 65-nm CMOS</t>
  </si>
  <si>
    <t>Phase noise reduction using mode-rejection circular triple-coupled transformer tank in a quad-core architecture</t>
  </si>
  <si>
    <t>Journal of Solid-State Circuits</t>
  </si>
  <si>
    <t>10.1109/IMS37964.2023.10187935</t>
  </si>
  <si>
    <t>A V-Band LC-VCO and Doubler with Wide Tuning Range and Low Phase Noise Using Series-Shunt Anti-Parallel SiGe HBT Switches</t>
  </si>
  <si>
    <t>Series-Shunt Anti-Parallel (SSAP) SiGe HBT switched capacitor bank to improve Q and PN with wide tuning range</t>
  </si>
  <si>
    <t>International Microwave Symposium</t>
  </si>
  <si>
    <t>10.1109/LMWC.2022.3201199</t>
  </si>
  <si>
    <t>30-GHz Low-Phase-Noise VCO With Negative Transconductance Optimization in 65-nm CMOS</t>
  </si>
  <si>
    <t>gm-boosted CCP by adding a capacitors bank and inductors to the cross connection, improving PN.</t>
  </si>
  <si>
    <t>10.1109/TTHZ.2022.3173181</t>
  </si>
  <si>
    <t>A 300 GHz Push-Push Coupling VCO Employing T-Embedded Network in CMOS Technology</t>
  </si>
  <si>
    <t>Utilizes a T-embedded network to couple eight single-ended oscillators (4 push-push pairs) to achieve high output power and efficiency at 300 GHz.</t>
  </si>
  <si>
    <t>10.1109/SiRF53094.2022.9720059</t>
  </si>
  <si>
    <t>A W-Band SiGe-HBT Colpitts VCO for Millimeter-Wave Applications with an Analog Tuning Range of 12%</t>
  </si>
  <si>
    <t>A W-band Colpitts VCO with a wide 11.6% analog-only continuous tuning range (eliminating digital control) using a single varactor pair and optimized resonant networks.</t>
  </si>
  <si>
    <t>Topical Meeting on Silicon Monolithic Integrated Circuits in RF Systems (SiRF)</t>
  </si>
  <si>
    <t>10.1109/RFIC54546.2022.9863140</t>
  </si>
  <si>
    <t>A Compact CMOS 76-82 GHz Super-Harmonic VCO with 189 dBc/Hz FoM Operating based on Harmonic-Assisted ISF Manipulation</t>
  </si>
  <si>
    <t>10.1109/LSSC.2022.3218680</t>
  </si>
  <si>
    <t>A 10.5-mW 60-GHz QVCO Employing Hybrid Back-Gate and Tail Inductive Coupling in 22-nm FD-SOI Technology</t>
  </si>
  <si>
    <t>Hybrid coupling technique that combines active back-gate coupling with passive tail magnetic coupling to ensure robust quadrature locking and improve phase noise through 2nd-harmonic tail filtering</t>
  </si>
  <si>
    <t>Solid-State Circuits Letters </t>
  </si>
  <si>
    <t>10.1109/JSSC.2022.3165654</t>
  </si>
  <si>
    <t>Design and Analysis of 55–63-GHz Fundamental Quad-Core VCO With NMOS-Only Stacked Oscillator in 28-nm CMOS</t>
  </si>
  <si>
    <t>Fundamental Quad-Core VCO with NMOS-Only Stacked Oscillator and Implicit Common-Mode Impedance Control</t>
  </si>
  <si>
    <t>10.23919/APMC55665.2022.9999903</t>
  </si>
  <si>
    <t>A Reconfigurable 60-GHz VCO with −103.2 dBc/Hz Phase Noise in a 0.13-µm SiGe BiCMOS Technology</t>
  </si>
  <si>
    <t>Reconfigurable sensitivity and synchronization accuracy using a switchable capacitor bank</t>
  </si>
  <si>
    <t>Asia-Pacific Microwave Conference (APMC)</t>
  </si>
  <si>
    <t>10.1109/LMWC.2022.3171405</t>
  </si>
  <si>
    <t>Design of 50-GHz Low Phase Noise VCO Employing Two-Branches DGS Resonator in 0.18-μm CMOS Technology</t>
  </si>
  <si>
    <t>DGS resonator</t>
  </si>
  <si>
    <t>Microwave and Wireless Components Letters</t>
  </si>
  <si>
    <t>180-nm</t>
  </si>
  <si>
    <t>10.23919/APMC55665.2022.9999766</t>
  </si>
  <si>
    <t>PVT-Insensitive Ka-Band Class-D VCO with Average Current Control in 65 nm CMOS</t>
  </si>
  <si>
    <t>DC current control for PVT (process, voltage and
temperature)-insensitivity</t>
  </si>
  <si>
    <t>10.1109/RFIT52905.2021.9565247</t>
  </si>
  <si>
    <t>88-96 GHz VCO with Inductance-Compensated Capacitive Source Degeneration in 90-nm CMOS</t>
  </si>
  <si>
    <t>Inductance-Compensated Capacitive Source Degeneration</t>
  </si>
  <si>
    <t>International Symposium on Radio-Frequency Integration Technology (RFIT)</t>
  </si>
  <si>
    <t>30.36</t>
  </si>
  <si>
    <t>-96.51</t>
  </si>
  <si>
    <t>10.1109/RFIT52905.2021.9565295</t>
  </si>
  <si>
    <t>A W-band Push-Push VCO with Gm-Boosted Colpitts Topology in 90-nm CMOS Technology</t>
  </si>
  <si>
    <t>Dynamic forward body-biasing and gm-boosted frequency doubler</t>
  </si>
  <si>
    <t>10.1109/TCSI.2021.3060579</t>
  </si>
  <si>
    <t>77.3-GHz Standing-Wave Oscillator Based on an Asymmetrical Tunable Slow-Wave Coplanar Stripline Resonator</t>
  </si>
  <si>
    <t>Asymmetrical standing-wave resonator</t>
  </si>
  <si>
    <t xml:space="preserve">Transactions on Circuits and Systems I: Regular Papers </t>
  </si>
  <si>
    <t>55-nm</t>
  </si>
  <si>
    <t>10.1109/ICECCME52200.2021.9591117</t>
  </si>
  <si>
    <t>A 60 GHz VCO with 654 MHz direct Frequency Modulation Bandwidth in 0.13-µm SiGe BiCMOS</t>
  </si>
  <si>
    <t>High direct frequency modulation bandwidth is obtained by  using a suspended coplanar waveguide to connect the tuning pad to the MOS varactor to maximize the cutoff frequency of the tuning network</t>
  </si>
  <si>
    <t>International Conference on Electrical, Computer, Communications and Mechatronics Engineering (ICECCME)</t>
  </si>
  <si>
    <t>10.1109/ISSCC42613.2021.9366036</t>
  </si>
  <si>
    <t>A 60GHz 186.5dBc/Hz FoM Quad-Core Fundamental VCO Using Circular Triple-Coupled Transformer with No Mode Ambiguity in 65-nm CMOS</t>
  </si>
  <si>
    <t>Multicore VCO with triple-coupled transformer to improve phase noise</t>
  </si>
  <si>
    <t>International Solid-State Circuits Conference (ISSCC)</t>
  </si>
  <si>
    <t>10.1109/IWS52775.2021.9499714</t>
  </si>
  <si>
    <t>A Wide Tuning Range low Kvco Ka-Band BiCMOS LC-VCO Using Varactor Bank</t>
  </si>
  <si>
    <t>Varactor array to reduce phase noise</t>
  </si>
  <si>
    <t>International Wireless Symposium (IWS)</t>
  </si>
  <si>
    <t>10.1109/TMTT.2020.2987783</t>
  </si>
  <si>
    <t>A High Fundamental Frequency Sub-THz CMOS Oscillator With a Capacitive Load Reduction Circuit</t>
  </si>
  <si>
    <t>Implementation of a capacitive load reduction circuit (CLRC) to decrease parasitic capacitances and boost fundamental frequency, combined with a differential-to-single (DTS) transformer for power combining.</t>
  </si>
  <si>
    <t>10.1109/JSSC.2019.2949260</t>
  </si>
  <si>
    <t>A 230-GHz High-Power and Wideband Coupled Standing Wave VCO in 65-nm CMOS</t>
  </si>
  <si>
    <t>Coupled standing wave oscillator (SWO) with varactor-less tuning and harmonic impedance engineering to achieve high power and wide bandwidth at mm-wave/THz.</t>
  </si>
  <si>
    <t>10.23919/EuMC48046.2021.9338039</t>
  </si>
  <si>
    <t>A 160 GHz High Output Power and High DC-to-RF Efficiency Fundamental Oscillator in a 130-nm SiGe BiCMOS Process</t>
  </si>
  <si>
    <t>Optimization of unilateral power gain (U) at the target frequency and harmonic control (tuning common-mode impedance) to maximize power and efficiency.</t>
  </si>
  <si>
    <t>European Microwave Conference (EuMC)</t>
  </si>
  <si>
    <t>10.1109/TCSI.2019.2926415</t>
  </si>
  <si>
    <t>Design of a 77-GHz LC-VCO With a Slow-Wave Coplanar Stripline-Based Inductor</t>
  </si>
  <si>
    <t>Use of S-CPS as an inductor to improve Q-factor</t>
  </si>
  <si>
    <t>10.1109/TCSI.2020.3004859</t>
  </si>
  <si>
    <t>A 65–81 GHz CMOS Dual-Mode VCO Using High Quality Factor Transformer-Based Inductors</t>
  </si>
  <si>
    <t>Dual-mode VCO using high-Q transformer-based variable inductors with a lossless switching structure (switched-capacitor load via even/odd mode operation).</t>
  </si>
  <si>
    <t>10.1109/APMC47863.2020.9331421</t>
  </si>
  <si>
    <t>A 41.8 GHz Drain-to-Source and Gate-to-Source Feedback Colpitts VCO in 40-nm CMOS</t>
  </si>
  <si>
    <t>gm-boosted colpitt VCO using DS and GS feedback</t>
  </si>
  <si>
    <t>IEEE Asia-Pacific Microwave Conference (APMC)</t>
  </si>
  <si>
    <t>10.1109/WAMICON.2019.8765439</t>
  </si>
  <si>
    <t>A 310-GHz Fundamental Oscillator with 0.4-mW Output Power and 3.2% dc-to-RF Efficiency in 65-nm CMOS</t>
  </si>
  <si>
    <t>Highest fundamental frequency in CMOS achieved using a differential T-embedding network with an on-chip transformer for output coupling.</t>
  </si>
  <si>
    <t>Wireless and Microwave Technology Conference (WAMICON)</t>
  </si>
  <si>
    <t>10.1109/RWS.2019.8714536</t>
  </si>
  <si>
    <t>A 212-GHz Differential VCO with 5.3% dc-to-RF Efficiency in 65-nm CMOS Technology</t>
  </si>
  <si>
    <t>Use of particle swarm optimization (PSO) to find optimal values for a lossy π-embedding network to maximize efficiency.</t>
  </si>
  <si>
    <t>Radio and Wireless Symposium (RWS)</t>
  </si>
  <si>
    <t>10.1109/RFIC.2019.8701729</t>
  </si>
  <si>
    <t>An 82.2-to-89.3 GHz CMOS VCO with DC-to-RF Efficiency of 14.8%</t>
  </si>
  <si>
    <t>Device-centric design method using active feedback to achieve record 14.8% DC-to-RF efficiency at 90 GHz.</t>
  </si>
  <si>
    <t>10.1109/LMWC.2019.2919939</t>
  </si>
  <si>
    <t>A 79.1–87.2 GHz 5.7-mW VCO with complementary distributed resonant tank in 45-nm SOI CMOS</t>
  </si>
  <si>
    <t>Use of TLs to absorb parasitic capacitances</t>
  </si>
  <si>
    <t xml:space="preserve">Microwave and Wireless Components Letters </t>
  </si>
  <si>
    <t>45-nm</t>
  </si>
  <si>
    <t>10.1109/SIRF.2019.8709120</t>
  </si>
  <si>
    <t>LC tank differential inductor-coupled dual-core 60 GHz push-push VCO in 45 nm RF-SOI CMOS technology</t>
  </si>
  <si>
    <t>Dual-core push-push VCO with inductive core coupling to improve phase noise</t>
  </si>
  <si>
    <t>10.1109/TMTT.2019.2938943</t>
  </si>
  <si>
    <t>On the Design of a High-Performance mm-Wave VCO With Switchable Triple-Coupled Transformer</t>
  </si>
  <si>
    <t>Switchable Triple-Coupled Transformer (STCT) for dual-band operation</t>
  </si>
  <si>
    <t>10.1109/TMTT.2019.2899573</t>
  </si>
  <si>
    <t>A 2.3-mW 26.3-GHz G m-Boosted Differential Colpitts VCO With 20% Tuning Range in 65-nm CMOS</t>
  </si>
  <si>
    <t>gm-boosted colpitt VCO using inductor between tank and transistors to lower power consumption</t>
  </si>
  <si>
    <t>10.1109/JSSC.2017.2759116</t>
  </si>
  <si>
    <t>A 219-to-231 GHz Frequency-Multiplier-Based VCO With ~3% Peak DC-to-RF Efficiency in 65-nm CMOS</t>
  </si>
  <si>
    <t>Frequency-multiplier-based VCO architecture using four coupled cores and Class-C doublers to achieve high DC-to-RF efficiency (~3%) at ~225 GHz.</t>
  </si>
  <si>
    <t>10.1109/JSSC.2018.2837863</t>
  </si>
  <si>
    <t>High-Efficiency Millimeter-Wave Single-Ended and Differential Fundamental Oscillators in CMOS</t>
  </si>
  <si>
    <t>Design method considering device nonlinearity and finite passive Q to maximize power/efficiency above fmax​/2.</t>
  </si>
  <si>
    <t>10.1109/LSSC.2018.2855434</t>
  </si>
  <si>
    <t>A 91-GHz Fundamental VCO With 6.1% DC-to-RF Efficiency and 4.5 dBm Output Power in 0.13- μ m CMOS</t>
  </si>
  <si>
    <t>Class-E principals (waveform shaping) &amp; source capacitive degeneration</t>
  </si>
  <si>
    <t>10.1109/LSSC.2018.2875832</t>
  </si>
  <si>
    <t>An 88-GHz Compact Fundamental Oscillator With 19.4% DC-to-RF Efficiency and 7.5-dBm Output Power in 130-nm SiGe BiCMOS</t>
  </si>
  <si>
    <t>Device-centric design and self-feeding topology</t>
  </si>
  <si>
    <t xml:space="preserve">Solid-State Circuits Letters </t>
  </si>
  <si>
    <t>10.1109/MWSYM.2018.8439862</t>
  </si>
  <si>
    <t>A Low Power Active-Passive Dual Gm-boosted W-band Oscillator for Wireless Networ -on-Chip Applications</t>
  </si>
  <si>
    <t>Use of amplifiers in the gate to create an active gm-boosted effect to improve power consumption and phase noise.</t>
  </si>
  <si>
    <t>10.23919/GEMIC.2018.8335027</t>
  </si>
  <si>
    <t>Low-power multiband hybrid VCO for 77/81 GHz FMCW long range radar applications</t>
  </si>
  <si>
    <t>Hybrid VCO with accumulation-mode varactor and coarse capacitor bank using "inverse manner" placement</t>
  </si>
  <si>
    <t>German Microwave Conference (GeMiC)</t>
  </si>
  <si>
    <t>3.54</t>
  </si>
  <si>
    <t>10.1109/SIRF.2018.8304221</t>
  </si>
  <si>
    <t>30% frequency-tuning-range 60 GHz push-push VCO in 28 nm bulk CMOS technology</t>
  </si>
  <si>
    <t>Push-Push VCO with transformer-based resonant tank</t>
  </si>
  <si>
    <t>10.23919/EuMC.2018.8541550</t>
  </si>
  <si>
    <t>A 52-to-61 GHz Push-Push VCO in 28 nm CMOS</t>
  </si>
  <si>
    <t>A continuously tunable push-push VCO using a transformer for non-invasive second harmonic extraction (acting as filter/balun) to achieve low phase noise and 16% FTR.</t>
  </si>
  <si>
    <t>10.1109/RFIC.2017.7969040</t>
  </si>
  <si>
    <t>A 195 GHz Single-Transistor Fundamental VCO with 15.3% DC-to-RF Efficiency, 4.5 mW Output Power, Phase Noise FoM of -197 dBc/Hz and 1.1% Tuning Range in a 55 nm SiGe Process</t>
  </si>
  <si>
    <t>Optimization of Maximally Efficient Power Gain (GME​) using internal/external feedback networks</t>
  </si>
  <si>
    <t>10.1109/TMTT.2017.2702116</t>
  </si>
  <si>
    <t>An Efficient High-Power Fundamental Oscillator Above fmax/2 : A Systematic Design</t>
  </si>
  <si>
    <t>Shaping and maximizing the unilateral power gain (U) of the network at the desired frequency using optimum passive internal and external feedback networks</t>
  </si>
  <si>
    <t>10.1109/MWSYM.2017.8058864</t>
  </si>
  <si>
    <t>A D-band wide tuning range VCO using switching transformer</t>
  </si>
  <si>
    <t>Uses a switching transformer to change the coupling coefficient to extend tuning range, cascaded with a frequency doubler to reach D-Band.</t>
  </si>
  <si>
    <t>International Microwave Symposium (IMS)</t>
  </si>
  <si>
    <t>10.1109/MWSYM.2017.8058865</t>
  </si>
  <si>
    <t>36% Frequency-tuning-range dual-core 60 GHz push-push VCO in 45 nm RF-SOI CMOS technology</t>
  </si>
  <si>
    <t>Dual-Core 60 GHz Push-Push VCO with inductive core coupling</t>
  </si>
  <si>
    <t>10.23919/EuMC.2017.8230957</t>
  </si>
  <si>
    <t>A 52-to-67 GHz dual-core push-push VCO in 40-nm CMOS</t>
  </si>
  <si>
    <t>Dual-core push-push topology magnetically coupled via transformer to reduce phase noise and achieve wide continuous tuning range for FMCW radar.</t>
  </si>
  <si>
    <t>10.1109/TMTT.2017.2663401</t>
  </si>
  <si>
    <t>Linear CMOS LC -VCO Based on Triple-Coupled Inductors and Its Application to 40-GHz Phase-Locked Loop</t>
  </si>
  <si>
    <t>Linearização do ganho do VCO (KVCO​) utilizando indutores triplamente acoplados (triple-coupled inductors) para acoplar três pares de varactores que compensam as não-linearidades uns dos outros</t>
  </si>
  <si>
    <t>10.1109/EuMIC.2016.7777553</t>
  </si>
  <si>
    <t>Wideband 148–188 GHz push-push VCO using variable inductance and capacitance</t>
  </si>
  <si>
    <t>Wideband push-push VCO using both variable inductance (transformer-coupled varactor) and variable capacitance (varactor).</t>
  </si>
  <si>
    <t>10.1109/SIRF.2016.7445469</t>
  </si>
  <si>
    <t>A 110–132GHz VCO with 1.5dBm peak output power and 18.2% tuning range in 130nm SiGe BiCMOS for D-Band transmitters</t>
  </si>
  <si>
    <t>A D-Band push-push VCO achieving 18.2% tuning range (110-132 GHz) and 1.5 dBm peak output power using hyper-abrupt junction varactors.</t>
  </si>
  <si>
    <t>10.1109/ASSCC.2016.7844209</t>
  </si>
  <si>
    <t>Transformer-based varactor-less 96GHz–110GHz VCO and 89GHz–101GHz QVCO in 65-nm CMOS</t>
  </si>
  <si>
    <t>Transformer-based magnetic-tuning technique (varactor-less) using a triple-coil transformer with a coarse-tuning switch and a fine-tuning variable resistor.</t>
  </si>
  <si>
    <t>A-SSCC</t>
  </si>
  <si>
    <t>10.1109/TMTT.2016.2574716</t>
  </si>
  <si>
    <t>Low-phase-noise 54-GHz transformer-coupled quadrature VCO and 76-/90-GHz VCOs in 65-nm CMOS</t>
  </si>
  <si>
    <t>Inductive-divider feedback for transconductance linearization</t>
  </si>
  <si>
    <t>10.1109/ESSCIRC.2016.7598319</t>
  </si>
  <si>
    <t>A multi-core VCO and a frequency quadrupler for E-Band adaptive-modulation links in 55nm BiCMOS</t>
  </si>
  <si>
    <t>Multicore VCO + 2x push push multipliers</t>
  </si>
  <si>
    <t>European Solid-State Circuits Conference</t>
  </si>
  <si>
    <t>10.1109/JSSC.2015.2511158</t>
  </si>
  <si>
    <t>On the Design of mm-Wave Self-Mixing-VCO Architecture for High Tuning-Range and Low Phase Noise</t>
  </si>
  <si>
    <t>Class-C Self-Mixing VCO (SMV) architecture that mixes the fundamental (f0​) and second harmonic (2f0​) to generate the third harmonic (3f0​).</t>
  </si>
  <si>
    <t>10.1109/MWSYM.2016.7540349</t>
  </si>
  <si>
    <t>A K-band low phase noise and high gain Gm boosted colpitts VCO for 76–81 GHz FMCW radar applications</t>
  </si>
  <si>
    <t>Inductive RF-choke in Gm-boosted Colpitts tank to reduce noise</t>
  </si>
  <si>
    <t>MTT-S International Microwave Symposium (IMS)</t>
  </si>
  <si>
    <t>10.1109/TCSI.2015.2426957</t>
  </si>
  <si>
    <t>Design and Analysis of 239 GHz CMOS Push-Push Transformer-Based VCO With High Efficiency and Wide Tuning Range</t>
  </si>
  <si>
    <t>Optimization of transformer coupling factor (k≈0.45) and insertion of a parallel inductor (Lp​) to the varactor to enhance Gm​Rp​ and voltage swing</t>
  </si>
  <si>
    <t>10.1109/MWSYM.2015.7166853</t>
  </si>
  <si>
    <t>A 206 ∼ 220 GHz CMOS VCO using body-bias technique for frequency tuning</t>
  </si>
  <si>
    <t>Proposes a varactor-free push-push VCO using body-bias tuning to adjust parasitic capacitance, achieving high output power and efficiency.</t>
  </si>
  <si>
    <t>International Symposium on Radio-Frequency Integration Technology</t>
  </si>
  <si>
    <t>10.1109/TMTT.2015.2398445</t>
  </si>
  <si>
    <t>A G-Band Standing-Wave Push–Push VCO Using a Transmission-Line Resonator</t>
  </si>
  <si>
    <t>Standing-wave push-push VCO with distributed negative gm​ cells on a TL resonator; TL length optimized for 2nd harmonic power</t>
  </si>
  <si>
    <t>10.1109/CSICS.2015.7314482</t>
  </si>
  <si>
    <t>A SiGe-Based D-Band Fundamental-Wave VCO with 9 dBm Output Power and -185 dBc/Hz FoMT</t>
  </si>
  <si>
    <t>High-output power fundamental oscillator core designed at peak fT​/fmax​ current density to eliminate output buffers, reducing complexity and noise while improving efficiency.</t>
  </si>
  <si>
    <t>Compound Semiconductor Integrated Circuit Symposium (CSICS)</t>
  </si>
  <si>
    <t>10.1109/LMWC.2015.2481083</t>
  </si>
  <si>
    <t>A Low Noise D-Band VCO With a Wide Bandwidth and a Steady Output Power</t>
  </si>
  <si>
    <t>Tunable differential tripler with adaptive load tuning (transformer + varactor) to maximize output power over wide bandwidth.</t>
  </si>
  <si>
    <t>IEEE Microwave and Wireless Components Letters (MWCL)</t>
  </si>
  <si>
    <t>10.1109/LMWC.2014.2372476</t>
  </si>
  <si>
    <t>A V-Band Push-Push VCO With Wide Tuning Range Using 0.18 μm CMOS Process</t>
  </si>
  <si>
    <t>Uses a push-push topology extracting the 2nd harmonic from the inductor's center tap (L2​) instead of a λ/4 transmission line to save area and achieve wide tuning.</t>
  </si>
  <si>
    <t>10.1109/MWSYM.2015.7167025</t>
  </si>
  <si>
    <t>A 64 GHz 5 mW low phase noise Gm-boosted colpitts CMOS VCO with self-switched biasing technique</t>
  </si>
  <si>
    <t>Gm-boosted Colpitts with self-switched biasing to reduce flicker noise upconversion</t>
  </si>
  <si>
    <t>10.1109/TMTT.2015.2403366</t>
  </si>
  <si>
    <t>Wide Tuning-Range mm-Wave Voltage-Controlled Oscillator Employing an Artificial Magnetic Transmission Line</t>
  </si>
  <si>
    <t>Artificial Magnetic Transmission Line (AMTL) using digitally controlled switched loops to tune transmission line inductance</t>
  </si>
  <si>
    <t>10.1109/LMWC.2015.2451356</t>
  </si>
  <si>
    <t>A 60 GHz CMOS VCO Using a Fourth-Order Resonator</t>
  </si>
  <si>
    <t>Uses a fourth-order LC resonator oscillating at its second pole frequency to achieve high speed, differential phases, and wide tuning range with large varactors.</t>
  </si>
  <si>
    <t>10.1109/TCSI.2014.2362309</t>
  </si>
  <si>
    <t>A Low Phase Noise and Wide Tuning Range Millimeter-Wave VCO Using Switchable Coupled VCO-Cores</t>
  </si>
  <si>
    <t>Switchable cores to obtain two bands + freq. Doubler</t>
  </si>
  <si>
    <t>Transactions on circuits and Systems I</t>
  </si>
  <si>
    <t>10.1109/RFIC.2015.7337716</t>
  </si>
  <si>
    <t>A Class-C self-mixing-VCO architecture with high tuning-range and low phase-noise for mm-wave applications</t>
  </si>
  <si>
    <t>A Self-Mixing VCO (SMV) architecture using a Class-C push-push topology to mix fundamental (f0​) and second harmonic (2f0​) to generate a third harmonic (3f0​) with high tuning range and low phase noise.</t>
  </si>
  <si>
    <t>10.1109/TMTT.2014.2309940</t>
  </si>
  <si>
    <t>A 105-GHz VCO With 9.5% Tuning Range and 2.8-mW Peak Output Power in a 65-nm Bulk CMOS Process</t>
  </si>
  <si>
    <t>4-element coupled oscillator loop using simultaneous local (varactor) and global (phase delay) tuning</t>
  </si>
  <si>
    <t>10.1109/LMWT.2023.3288408</t>
  </si>
  <si>
    <t>A 31-46 GHz Dual-Core Class-C VCO Using Switchable Transformers in 28-nm CMOS</t>
  </si>
  <si>
    <t>Implementation of a dual-core Class-C topology utilizing switchable transformers, 7-bit switched capacitor arrays, and a noise-filtering technique (degeneration inductor) to block second-harmonic current.</t>
  </si>
  <si>
    <t>10.1109/LMWC.2018.2890087</t>
  </si>
  <si>
    <t>An Ultralow Phase Noise Eight-Core Fundamental 62-to-67-GHz VCO in 65-nm CMOS</t>
  </si>
  <si>
    <t>Coupling eight VCOs using a scalable layout methodology (connecting coupled-VCO cells via extended lines) to achieve a 9-dB phase noise improvement.</t>
  </si>
  <si>
    <t>10.23919/EUMIC61603.2024.10732408</t>
  </si>
  <si>
    <t>Use of a dual-core topology with inductive coupling through a 2:1 side-coupled transformer (T1) to filter noise, provide bias, and extract the second harmonic non-invasively for push-push operation.</t>
  </si>
  <si>
    <t>10.23919/RFIC.2018.8428984</t>
  </si>
  <si>
    <t>A 31.8-40.8GHz Continuously Wide-Tuning VCO Based on Class-B Oscillator using Single Varactor and Inductor</t>
  </si>
  <si>
    <t>Adoption of a push-pull complementary class-B oscillator (cascoded NMOS/PMOS Colpitts) to isolate the LC-tank and provide higher negative resistance, extending the tuning range without using switched capacitor banks or transformers.</t>
  </si>
  <si>
    <t>Radio Frequency Integrated Circuits Symposium (RFIC)</t>
  </si>
  <si>
    <t>10.23919/GeMiC64734.2025.10979128</t>
  </si>
  <si>
    <t>A Low Phase-Noise Ka-band GHz VCO in 22 nm FDSOI CMOS for 6G Applications</t>
  </si>
  <si>
    <t>Design of a low-phase-noise Ka-band VCO using a classic NMOS cross-coupled LC oscillator with H2 extraction from the common-mode tail node via a transformer to save power in the LO distribution network.</t>
  </si>
  <si>
    <t>10.23919/EuMIC54514.2022.9923812</t>
  </si>
  <si>
    <t>A 30-GHz CMOS LC VCO with Optimal Tail Filter Considering Tail FET’s Output Resistance</t>
  </si>
  <si>
    <t xml:space="preserve">Use of an Rt*Ct low-pass filter at the tail FET's gate node to boost output resistance (rds) and suppress noise, combined with an LC tail filter and inter-stage LC buffer matching to improve phase noise.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</si>
</sst>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0"/>
      <color theme="1"/>
      <name val="Arial"/>
    </font>
    <font>
      <b/>
      <sz val="15"/>
      <color theme="3"/>
      <name val="Arial"/>
    </font>
    <font>
      <sz val="12"/>
      <name val="Arial"/>
    </font>
    <font>
      <b/>
      <sz val="14"/>
      <color theme="3"/>
      <name val="Arial"/>
    </font>
    <font>
      <u/>
      <sz val="12"/>
      <color indexed="4"/>
      <name val="Arial"/>
    </font>
    <font>
      <sz val="12"/>
      <color theme="1"/>
      <name val="Arial"/>
    </font>
    <font>
      <sz val="9"/>
      <color indexed="81"/>
      <name val="Tahoma"/>
      <charset val="1"/>
    </font>
    <font>
      <sz val="12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1" applyProtection="1"/>
    <xf numFmtId="0" fontId="3" fillId="0" borderId="1" xfId="1" applyFont="1" applyAlignment="1" applyProtection="1">
      <alignment horizontal="center" vertical="center" wrapText="1"/>
    </xf>
    <xf numFmtId="0" fontId="1" fillId="0" borderId="1" xfId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Excel Built-in Heading 1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419218</xdr:colOff>
      <xdr:row>27</xdr:row>
      <xdr:rowOff>105007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1F26A-AD41-57FF-9078-E54542F70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9000000" cy="4577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157370</xdr:rowOff>
    </xdr:from>
    <xdr:to>
      <xdr:col>14</xdr:col>
      <xdr:colOff>419217</xdr:colOff>
      <xdr:row>56</xdr:row>
      <xdr:rowOff>97057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ED396-73D6-8858-4AC3-703A93A9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5631"/>
          <a:ext cx="9000000" cy="4577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6E22B2BB-0705-F6EB-A4FF-EDAEBE9386D7}" userId="" providerId="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personId="{6E22B2BB-0705-F6EB-A4FF-EDAEBE9386D7}" id="{00C10032-00C3-40CD-A151-0096006000FD}">
    <text xml:space="preserve">Estimated
</text>
  </threadedComment>
  <threadedComment ref="R6" personId="{6E22B2BB-0705-F6EB-A4FF-EDAEBE9386D7}" id="{0082003E-00D8-4089-9F0F-00FF008D0090}">
    <text xml:space="preserve">Calculated from eff.
</text>
  </threadedComment>
  <threadedComment ref="L7" personId="{6E22B2BB-0705-F6EB-A4FF-EDAEBE9386D7}" id="{00CA00B3-00AF-4339-B191-0074002D0014}">
    <text xml:space="preserve">Estimated
</text>
  </threadedComment>
  <threadedComment ref="R7" personId="{6E22B2BB-0705-F6EB-A4FF-EDAEBE9386D7}" id="{004A0047-00E8-438B-B714-00AA00B3003C}">
    <text xml:space="preserve">Only total power consumption reported
</text>
  </threadedComment>
  <threadedComment ref="L9" personId="{6E22B2BB-0705-F6EB-A4FF-EDAEBE9386D7}" id="{00F9001B-00FE-48C7-A64C-00A300D300CF}">
    <text xml:space="preserve">Estimated
</text>
  </threadedComment>
  <threadedComment ref="M14" personId="{6E22B2BB-0705-F6EB-A4FF-EDAEBE9386D7}" id="{007400B6-0011-4E44-9B9B-003000730010}">
    <text xml:space="preserve">Estimated
</text>
  </threadedComment>
  <threadedComment ref="R15" personId="{6E22B2BB-0705-F6EB-A4FF-EDAEBE9386D7}" id="{00FC00B4-005C-43F2-A61A-0084001E00F7}">
    <text xml:space="preserve">Only total power consumption reported
</text>
  </threadedComment>
  <threadedComment ref="R17" personId="{6E22B2BB-0705-F6EB-A4FF-EDAEBE9386D7}" id="{005F0037-00A4-4C23-80F2-00F000740033}">
    <text xml:space="preserve">Only total power consumption reported
</text>
  </threadedComment>
  <threadedComment ref="R19" personId="{6E22B2BB-0705-F6EB-A4FF-EDAEBE9386D7}" id="{00680022-001E-493A-AE32-000300DD00E1}">
    <text xml:space="preserve">Only total power consumption reported
</text>
  </threadedComment>
  <threadedComment ref="R20" personId="{6E22B2BB-0705-F6EB-A4FF-EDAEBE9386D7}" id="{0066007A-002B-4997-8E1E-00A800C500D9}">
    <text xml:space="preserve">Only total power reported
</text>
  </threadedComment>
  <threadedComment ref="L21" personId="{6E22B2BB-0705-F6EB-A4FF-EDAEBE9386D7}" id="{00C8006C-00B6-4CE0-AA3A-0005005F00C1}">
    <text xml:space="preserve">Estimated
</text>
  </threadedComment>
  <threadedComment ref="M22" personId="{6E22B2BB-0705-F6EB-A4FF-EDAEBE9386D7}" id="{002000D8-00D4-439D-B585-006800E60030}">
    <text xml:space="preserve">Estimated
</text>
  </threadedComment>
  <threadedComment ref="L23" personId="{6E22B2BB-0705-F6EB-A4FF-EDAEBE9386D7}" id="{00520035-00DB-4D7C-AD69-00BC008700A1}">
    <text xml:space="preserve">Estimated
</text>
  </threadedComment>
  <threadedComment ref="L31" personId="{6E22B2BB-0705-F6EB-A4FF-EDAEBE9386D7}" id="{00A20000-0006-428E-89FE-007B00A90025}">
    <text xml:space="preserve">Estimated
</text>
  </threadedComment>
  <threadedComment ref="R31" personId="{6E22B2BB-0705-F6EB-A4FF-EDAEBE9386D7}" id="{004B005B-006D-40D3-A9E9-00F1006400DB}">
    <text xml:space="preserve">Including 34 mW from doubler
</text>
  </threadedComment>
  <threadedComment ref="L33" personId="{6E22B2BB-0705-F6EB-A4FF-EDAEBE9386D7}" id="{00AC00B5-00F5-43B3-BF05-007A00E600F8}">
    <text xml:space="preserve">Estimated
</text>
  </threadedComment>
  <threadedComment ref="R34" personId="{6E22B2BB-0705-F6EB-A4FF-EDAEBE9386D7}" id="{007700C8-0044-4C44-AF2A-0044003E0098}">
    <text xml:space="preserve">Only total power reported
</text>
  </threadedComment>
  <threadedComment ref="R39" personId="{6E22B2BB-0705-F6EB-A4FF-EDAEBE9386D7}" id="{003800B1-0081-4373-AFE2-000400530077}">
    <text xml:space="preserve">Only total power reported
</text>
  </threadedComment>
  <threadedComment ref="L43" personId="{6E22B2BB-0705-F6EB-A4FF-EDAEBE9386D7}" id="{00B4003B-001B-4B5D-B351-00E400B900B8}">
    <text xml:space="preserve">Gustavo Hama:
estimated
</text>
  </threadedComment>
  <threadedComment ref="L45" personId="{6E22B2BB-0705-F6EB-A4FF-EDAEBE9386D7}" id="{00740023-0050-4301-9A72-0051001A00CF}">
    <text xml:space="preserve">Estimated
</text>
  </threadedComment>
  <threadedComment ref="L47" personId="{6E22B2BB-0705-F6EB-A4FF-EDAEBE9386D7}" id="{006D007B-0039-4253-8BD8-004800350083}">
    <text xml:space="preserve">Gustavo Hama:
estimated
</text>
  </threadedComment>
  <threadedComment ref="M47" personId="{6E22B2BB-0705-F6EB-A4FF-EDAEBE9386D7}" id="{00B10013-005E-42D6-BAA7-00AF000300A2}">
    <text xml:space="preserve">Gustavo Hama:
estimated
</text>
  </threadedComment>
  <threadedComment ref="R47" personId="{6E22B2BB-0705-F6EB-A4FF-EDAEBE9386D7}" id="{003300E1-00D1-4972-8B05-0076000500C2}">
    <text xml:space="preserve">Only total power consumption reported
</text>
  </threadedComment>
  <threadedComment ref="L48" personId="{6E22B2BB-0705-F6EB-A4FF-EDAEBE9386D7}" id="{00150049-007B-4B66-AF6A-0036008B0043}">
    <text xml:space="preserve">Estimated
</text>
  </threadedComment>
  <threadedComment ref="R48" personId="{6E22B2BB-0705-F6EB-A4FF-EDAEBE9386D7}" id="{006C00CC-00F9-4D8B-8501-008A005C0063}">
    <text xml:space="preserve">Only total power consumption reported
</text>
  </threadedComment>
  <threadedComment ref="L51" personId="{6E22B2BB-0705-F6EB-A4FF-EDAEBE9386D7}" id="{002D001B-005C-4713-9FCD-006F00B3009D}">
    <text xml:space="preserve">Estimated
</text>
  </threadedComment>
  <threadedComment ref="M52" personId="{6E22B2BB-0705-F6EB-A4FF-EDAEBE9386D7}" id="{00590006-00CE-4146-9FBF-00A30093002E}">
    <text xml:space="preserve">Estimated
</text>
  </threadedComment>
  <threadedComment ref="M53" personId="{6E22B2BB-0705-F6EB-A4FF-EDAEBE9386D7}" id="{006A0045-00DB-469B-A1F5-003A00B8008F}">
    <text xml:space="preserve">Estimated
</text>
  </threadedComment>
  <threadedComment ref="L56" personId="{6E22B2BB-0705-F6EB-A4FF-EDAEBE9386D7}" id="{00E200C0-0073-4655-BABA-002B004400F9}">
    <text xml:space="preserve">Estimated
</text>
  </threadedComment>
  <threadedComment ref="L59" personId="{6E22B2BB-0705-F6EB-A4FF-EDAEBE9386D7}" id="{0083006E-002E-41E6-ABD4-001300E800AE}">
    <text xml:space="preserve">Estimated
</text>
  </threadedComment>
  <threadedComment ref="M61" personId="{6E22B2BB-0705-F6EB-A4FF-EDAEBE9386D7}" id="{009A00FD-000B-4DD7-B6CC-00F700790076}">
    <text xml:space="preserve">Estimated
</text>
  </threadedComment>
  <threadedComment ref="L62" personId="{6E22B2BB-0705-F6EB-A4FF-EDAEBE9386D7}" id="{003F00AA-00CB-4E6E-BA24-001B0022000C}">
    <text xml:space="preserve">Estimated
</text>
  </threadedComment>
  <threadedComment ref="R65" personId="{6E22B2BB-0705-F6EB-A4FF-EDAEBE9386D7}" id="{000F0048-003B-4DC0-B692-004D00CD0085}">
    <text xml:space="preserve">Only total power consumption reported
</text>
  </threadedComment>
  <threadedComment ref="L66" personId="{6E22B2BB-0705-F6EB-A4FF-EDAEBE9386D7}" id="{0072005B-00F4-40DA-AE73-003100EB00AD}">
    <text xml:space="preserve">Estimated
</text>
  </threadedComment>
  <threadedComment ref="M67" personId="{6E22B2BB-0705-F6EB-A4FF-EDAEBE9386D7}" id="{009B00ED-0060-48E3-A97F-0098009F0032}">
    <text xml:space="preserve">Estimated
</text>
  </threadedComment>
  <threadedComment ref="L71" personId="{6E22B2BB-0705-F6EB-A4FF-EDAEBE9386D7}" id="{006B0069-0009-445F-B3B8-00C00084000D}">
    <text xml:space="preserve">From power density
</text>
  </threadedComment>
  <threadedComment ref="L72" personId="{6E22B2BB-0705-F6EB-A4FF-EDAEBE9386D7}" id="{005D00D9-00FC-4850-AF75-00520084002C}">
    <text xml:space="preserve">Estimated
</text>
  </threadedComment>
  <threadedComment ref="R73" personId="{6E22B2BB-0705-F6EB-A4FF-EDAEBE9386D7}" id="{00E6001E-00F5-4AAD-864D-004000B800BF}">
    <text xml:space="preserve">Core Pdc not reported
</text>
  </threadedComment>
  <threadedComment ref="L74" personId="{6E22B2BB-0705-F6EB-A4FF-EDAEBE9386D7}" id="{009F0079-0083-4DED-B3C1-006100CF00D6}">
    <text xml:space="preserve">Gustavo Hama:
estimated
</text>
  </threadedComment>
  <threadedComment ref="R74" personId="{6E22B2BB-0705-F6EB-A4FF-EDAEBE9386D7}" id="{00CB00FF-00E7-4688-B21F-009600FD0049}">
    <text xml:space="preserve">Gustavo Hama:
not reported separately
</text>
  </threadedComment>
  <threadedComment ref="W74" personId="{6E22B2BB-0705-F6EB-A4FF-EDAEBE9386D7}" id="{001300EE-00F3-4BB0-99BB-00AA00350072}">
    <text xml:space="preserve">Gustavo Hama:
estimated
</text>
  </threadedComment>
  <threadedComment ref="L75" personId="{6E22B2BB-0705-F6EB-A4FF-EDAEBE9386D7}" id="{0096007C-006F-41E9-BEC3-00B4000800BD}">
    <text xml:space="preserve">Estimated
</text>
  </threadedComment>
  <threadedComment ref="L78" personId="{6E22B2BB-0705-F6EB-A4FF-EDAEBE9386D7}" id="{00A5008A-00E4-4435-861C-0074004A00D5}">
    <text xml:space="preserve">Estimated
</text>
  </threadedComment>
  <threadedComment ref="M79" personId="{6E22B2BB-0705-F6EB-A4FF-EDAEBE9386D7}" id="{00E900C2-00EE-49C4-87EF-00B900E900F4}">
    <text xml:space="preserve">Estimated
</text>
  </threadedComment>
  <threadedComment ref="M81" personId="{6E22B2BB-0705-F6EB-A4FF-EDAEBE9386D7}" id="{00EA002A-00B3-49ED-B4CE-007700D20019}">
    <text xml:space="preserve">Gustavo Hama:
estimated
</text>
  </threadedComment>
  <threadedComment ref="R81" personId="{6E22B2BB-0705-F6EB-A4FF-EDAEBE9386D7}" id="{003100A1-00E3-4C84-A1CA-00B100C10013}">
    <text xml:space="preserve">Including quadrupler (7mW)
</text>
  </threadedComment>
  <threadedComment ref="L83" personId="{6E22B2BB-0705-F6EB-A4FF-EDAEBE9386D7}" id="{001700AF-00D3-415A-8396-00880068001A}">
    <text xml:space="preserve">Estimated
</text>
  </threadedComment>
  <threadedComment ref="L85" personId="{6E22B2BB-0705-F6EB-A4FF-EDAEBE9386D7}" id="{006D004B-00F1-4128-BA69-007700FC004E}">
    <text xml:space="preserve">Estimated
</text>
  </threadedComment>
  <threadedComment ref="L86" personId="{6E22B2BB-0705-F6EB-A4FF-EDAEBE9386D7}" id="{00F7007A-00CC-45C5-97D8-000D00FC000D}">
    <text xml:space="preserve">Estimated
</text>
  </threadedComment>
  <threadedComment ref="L88" personId="{6E22B2BB-0705-F6EB-A4FF-EDAEBE9386D7}" id="{00610070-00EB-4D54-AFF6-002B00E00039}">
    <text xml:space="preserve">Estimated
</text>
  </threadedComment>
  <threadedComment ref="R89" personId="{6E22B2BB-0705-F6EB-A4FF-EDAEBE9386D7}" id="{0065003A-000C-4239-8C40-00A300300070}">
    <text xml:space="preserve">Core Pdc not reported
</text>
  </threadedComment>
  <threadedComment ref="L90" personId="{6E22B2BB-0705-F6EB-A4FF-EDAEBE9386D7}" id="{00220051-008B-4B93-85E3-008400C500B1}">
    <text xml:space="preserve">Estimated
</text>
  </threadedComment>
  <threadedComment ref="L91" personId="{6E22B2BB-0705-F6EB-A4FF-EDAEBE9386D7}" id="{00FB00CA-0073-4A59-95DE-00F80020000A}">
    <text xml:space="preserve">Estimated
</text>
  </threadedComment>
  <threadedComment ref="R92" personId="{6E22B2BB-0705-F6EB-A4FF-EDAEBE9386D7}" id="{00750083-00D1-4E2C-8B7B-005800A800F7}">
    <text xml:space="preserve">Only total power reported
</text>
  </threadedComment>
  <threadedComment ref="L93" personId="{6E22B2BB-0705-F6EB-A4FF-EDAEBE9386D7}" id="{00C3006D-0031-44CC-9172-00EA00A400B3}">
    <text xml:space="preserve">Estimated
</text>
  </threadedComment>
  <threadedComment ref="L94" personId="{6E22B2BB-0705-F6EB-A4FF-EDAEBE9386D7}" id="{00A200BB-00E0-461C-95C0-00BD00CC0045}">
    <text xml:space="preserve">Gustavo Hama:
estimated
</text>
  </threadedComment>
  <threadedComment ref="R94" personId="{6E22B2BB-0705-F6EB-A4FF-EDAEBE9386D7}" id="{00F6007D-0020-4243-B79A-00D7000800AD}">
    <text xml:space="preserve">Doubler: 
3.6 mW 
</text>
  </threadedComment>
  <threadedComment ref="W94" personId="{6E22B2BB-0705-F6EB-A4FF-EDAEBE9386D7}" id="{00710054-0088-4098-BE2A-001B006700C4}">
    <text xml:space="preserve">Doubler included  6 dB of PN
</text>
  </threadedComment>
  <threadedComment ref="L95" personId="{6E22B2BB-0705-F6EB-A4FF-EDAEBE9386D7}" id="{00A300F1-001D-4855-A4CD-00C900CC00E8}">
    <text xml:space="preserve">Estimated
</text>
  </threadedComment>
  <threadedComment ref="L96" personId="{6E22B2BB-0705-F6EB-A4FF-EDAEBE9386D7}" id="{006B002D-006C-48CA-963D-002500E10057}">
    <text xml:space="preserve">Estimated
</text>
  </threadedComment>
  <threadedComment ref="M97" personId="{6E22B2BB-0705-F6EB-A4FF-EDAEBE9386D7}" id="{E80CD336-E602-49C5-8915-0A7EE86690F9}">
    <text xml:space="preserve">Estimated
</text>
  </threadedComment>
  <threadedComment ref="R97" personId="{6E22B2BB-0705-F6EB-A4FF-EDAEBE9386D7}" id="{535D1BA5-778F-4DA6-8BEA-A2E1949A80B1}">
    <text>Only total power reported
From 6.8 mW to 9.9 mW</text>
  </threadedComment>
  <threadedComment ref="R98" personId="{6E22B2BB-0705-F6EB-A4FF-EDAEBE9386D7}" id="{2C8311BA-9217-409C-BE0B-7DC7F832D7E5}">
    <text xml:space="preserve">Only total power reported
</text>
  </threadedComment>
  <threadedComment ref="L99" personId="{6E22B2BB-0705-F6EB-A4FF-EDAEBE9386D7}" id="{D9448BAA-F5B0-4321-90C2-A9D51981A62E}">
    <text xml:space="preserve">Estimated
</text>
  </threadedComment>
  <threadedComment ref="R101" personId="{6E22B2BB-0705-F6EB-A4FF-EDAEBE9386D7}" id="{7AE7CF57-1275-4D06-A200-1594B54FC832}">
    <text xml:space="preserve">Only total power reported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3"/>
  <sheetViews>
    <sheetView tabSelected="1" zoomScale="95" workbookViewId="0">
      <pane ySplit="1" topLeftCell="A97" activePane="bottomLeft" state="frozen"/>
      <selection activeCell="L4" sqref="L4"/>
      <selection pane="bottomLeft" activeCell="P103" sqref="P103"/>
    </sheetView>
  </sheetViews>
  <sheetFormatPr defaultColWidth="12.7109375" defaultRowHeight="15" x14ac:dyDescent="0.2"/>
  <cols>
    <col min="1" max="1" width="14.28515625" style="1" customWidth="1"/>
    <col min="2" max="2" width="41.5703125" customWidth="1"/>
    <col min="3" max="3" width="49" customWidth="1"/>
    <col min="4" max="4" width="34.7109375" customWidth="1"/>
    <col min="5" max="5" width="17.28515625" customWidth="1"/>
    <col min="6" max="7" width="20.28515625" customWidth="1"/>
    <col min="8" max="8" width="17.28515625" customWidth="1"/>
    <col min="9" max="9" width="16.28515625" customWidth="1"/>
    <col min="10" max="11" width="15.28515625" customWidth="1"/>
    <col min="12" max="12" width="17.28515625" customWidth="1"/>
    <col min="13" max="13" width="15" customWidth="1"/>
    <col min="14" max="14" width="21" customWidth="1"/>
    <col min="16" max="16" width="20.42578125" customWidth="1"/>
    <col min="17" max="17" width="12" customWidth="1"/>
    <col min="20" max="20" width="14.85546875" customWidth="1"/>
    <col min="21" max="21" width="17.85546875" customWidth="1"/>
    <col min="23" max="23" width="14.42578125" customWidth="1"/>
    <col min="24" max="24" width="14.85546875" customWidth="1"/>
    <col min="25" max="25" width="14.85546875" style="8" customWidth="1"/>
    <col min="26" max="26" width="16.5703125" style="8" customWidth="1"/>
  </cols>
  <sheetData>
    <row r="1" spans="1:26" s="2" customFormat="1" ht="58.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58.9" customHeight="1" x14ac:dyDescent="0.2">
      <c r="A2" s="5" t="s">
        <v>26</v>
      </c>
      <c r="B2" s="6" t="s">
        <v>27</v>
      </c>
      <c r="C2" s="6" t="s">
        <v>28</v>
      </c>
      <c r="D2" s="6" t="s">
        <v>29</v>
      </c>
      <c r="E2" s="6">
        <v>2025</v>
      </c>
      <c r="F2" s="6" t="s">
        <v>30</v>
      </c>
      <c r="G2" s="6" t="s">
        <v>31</v>
      </c>
      <c r="H2" s="6" t="s">
        <v>32</v>
      </c>
      <c r="I2" s="6" t="s">
        <v>32</v>
      </c>
      <c r="J2" s="6" t="s">
        <v>33</v>
      </c>
      <c r="K2" s="6" t="s">
        <v>34</v>
      </c>
      <c r="L2" s="6">
        <v>4.8000000000000001E-2</v>
      </c>
      <c r="M2" s="6">
        <v>0.28000000000000003</v>
      </c>
      <c r="N2" s="6" t="s">
        <v>35</v>
      </c>
      <c r="O2" s="6">
        <v>295.5</v>
      </c>
      <c r="P2" s="6" t="s">
        <v>36</v>
      </c>
      <c r="Q2" s="6">
        <v>5.8</v>
      </c>
      <c r="R2" s="6">
        <v>78.400000000000006</v>
      </c>
      <c r="S2" s="6">
        <v>78.400000000000006</v>
      </c>
      <c r="T2" s="6">
        <v>3.61</v>
      </c>
      <c r="U2" s="7">
        <f t="shared" ref="U2:U10" si="0">10^(T2/10)/S2</f>
        <v>2.9287610307555636E-2</v>
      </c>
      <c r="V2" s="6">
        <v>10</v>
      </c>
      <c r="W2" s="6">
        <v>-112</v>
      </c>
      <c r="X2" s="6">
        <f t="shared" ref="X2:X33" si="1">W2+20*LOG10(V2/10)</f>
        <v>-112</v>
      </c>
      <c r="Y2" s="8">
        <f t="shared" ref="Y2:Y16" si="2">W2-20*LOG10(O2*1000000000/(V2*1000000))+10*LOG10(R2)</f>
        <v>-182.46798907750107</v>
      </c>
      <c r="Z2" s="8">
        <f t="shared" ref="Z2:Z16" si="3">W2-20*LOG10(O2*1000000000/(V2*1000000))+10*LOG10(R2)-20*LOG(Q2/10)</f>
        <v>-177.73654894875983</v>
      </c>
    </row>
    <row r="3" spans="1:26" ht="75" customHeight="1" x14ac:dyDescent="0.2">
      <c r="A3" s="6" t="s">
        <v>37</v>
      </c>
      <c r="B3" s="6" t="s">
        <v>38</v>
      </c>
      <c r="C3" s="6" t="s">
        <v>39</v>
      </c>
      <c r="D3" s="6" t="s">
        <v>29</v>
      </c>
      <c r="E3" s="6">
        <v>2025</v>
      </c>
      <c r="F3" s="6" t="s">
        <v>40</v>
      </c>
      <c r="G3" s="6" t="s">
        <v>41</v>
      </c>
      <c r="H3" s="6" t="s">
        <v>32</v>
      </c>
      <c r="I3" s="6" t="s">
        <v>32</v>
      </c>
      <c r="J3" s="6" t="s">
        <v>33</v>
      </c>
      <c r="K3" s="6" t="s">
        <v>42</v>
      </c>
      <c r="L3" s="6">
        <v>0.25</v>
      </c>
      <c r="M3" s="6" t="s">
        <v>32</v>
      </c>
      <c r="N3" s="6" t="s">
        <v>35</v>
      </c>
      <c r="O3" s="6">
        <v>225.4</v>
      </c>
      <c r="P3" s="6" t="s">
        <v>36</v>
      </c>
      <c r="Q3" s="6">
        <v>1.6</v>
      </c>
      <c r="R3" s="6">
        <v>40.5</v>
      </c>
      <c r="S3" s="6">
        <v>40.5</v>
      </c>
      <c r="T3" s="6">
        <v>-3.9</v>
      </c>
      <c r="U3" s="7">
        <f t="shared" si="0"/>
        <v>1.0058772291459572E-2</v>
      </c>
      <c r="V3" s="6">
        <v>10</v>
      </c>
      <c r="W3" s="6">
        <v>-101.3</v>
      </c>
      <c r="X3" s="6">
        <f t="shared" si="1"/>
        <v>-101.3</v>
      </c>
      <c r="Y3" s="8">
        <f t="shared" si="2"/>
        <v>-172.28452800205508</v>
      </c>
      <c r="Z3" s="8">
        <f t="shared" si="3"/>
        <v>-156.36692765517358</v>
      </c>
    </row>
    <row r="4" spans="1:26" ht="75" customHeight="1" x14ac:dyDescent="0.2">
      <c r="A4" s="5" t="s">
        <v>43</v>
      </c>
      <c r="B4" s="6" t="s">
        <v>44</v>
      </c>
      <c r="C4" s="6" t="s">
        <v>45</v>
      </c>
      <c r="D4" s="6" t="s">
        <v>46</v>
      </c>
      <c r="E4" s="6">
        <v>2025</v>
      </c>
      <c r="F4" s="6" t="s">
        <v>30</v>
      </c>
      <c r="G4" s="6" t="s">
        <v>31</v>
      </c>
      <c r="H4" s="6">
        <v>350</v>
      </c>
      <c r="I4" s="6">
        <v>450</v>
      </c>
      <c r="J4" s="6" t="s">
        <v>33</v>
      </c>
      <c r="K4" s="6" t="s">
        <v>34</v>
      </c>
      <c r="L4" s="6">
        <v>4.8999999999999998E-3</v>
      </c>
      <c r="M4" s="9">
        <f>0.33*0.26</f>
        <v>8.5800000000000001E-2</v>
      </c>
      <c r="N4" s="6" t="s">
        <v>47</v>
      </c>
      <c r="O4" s="6">
        <v>213.5</v>
      </c>
      <c r="P4" s="6" t="s">
        <v>36</v>
      </c>
      <c r="Q4" s="6">
        <v>6.55</v>
      </c>
      <c r="R4" s="6">
        <v>50</v>
      </c>
      <c r="S4" s="6">
        <v>50</v>
      </c>
      <c r="T4" s="6">
        <v>5.7</v>
      </c>
      <c r="U4" s="7">
        <f t="shared" si="0"/>
        <v>7.4307045819434536E-2</v>
      </c>
      <c r="V4" s="6">
        <v>10</v>
      </c>
      <c r="W4" s="6">
        <v>-109.89</v>
      </c>
      <c r="X4" s="6">
        <f t="shared" si="1"/>
        <v>-109.89</v>
      </c>
      <c r="Y4" s="8">
        <f t="shared" si="2"/>
        <v>-179.48825754386067</v>
      </c>
      <c r="Z4" s="8">
        <f t="shared" si="3"/>
        <v>-175.81308354369634</v>
      </c>
    </row>
    <row r="5" spans="1:26" ht="75" customHeight="1" x14ac:dyDescent="0.2">
      <c r="A5" s="5" t="s">
        <v>48</v>
      </c>
      <c r="B5" s="6" t="s">
        <v>49</v>
      </c>
      <c r="C5" s="6" t="s">
        <v>50</v>
      </c>
      <c r="D5" s="6" t="s">
        <v>51</v>
      </c>
      <c r="E5" s="6">
        <v>2025</v>
      </c>
      <c r="F5" s="6" t="s">
        <v>30</v>
      </c>
      <c r="G5" s="6" t="s">
        <v>31</v>
      </c>
      <c r="H5" s="6">
        <v>250</v>
      </c>
      <c r="I5" s="6" t="s">
        <v>32</v>
      </c>
      <c r="J5" s="6" t="s">
        <v>33</v>
      </c>
      <c r="K5" s="6" t="s">
        <v>34</v>
      </c>
      <c r="L5" s="6">
        <v>3.3000000000000002E-2</v>
      </c>
      <c r="M5" s="6" t="s">
        <v>32</v>
      </c>
      <c r="N5" s="6" t="s">
        <v>35</v>
      </c>
      <c r="O5" s="6">
        <v>189</v>
      </c>
      <c r="P5" s="6" t="s">
        <v>36</v>
      </c>
      <c r="Q5" s="6">
        <v>3.8</v>
      </c>
      <c r="R5" s="6">
        <v>70</v>
      </c>
      <c r="S5" s="6">
        <v>70</v>
      </c>
      <c r="T5" s="6">
        <v>3.9</v>
      </c>
      <c r="U5" s="7">
        <f t="shared" si="0"/>
        <v>3.5067270224071863E-2</v>
      </c>
      <c r="V5" s="6">
        <v>10</v>
      </c>
      <c r="W5" s="6">
        <v>-108.4</v>
      </c>
      <c r="X5" s="6">
        <f t="shared" si="1"/>
        <v>-108.4</v>
      </c>
      <c r="Y5" s="8">
        <f t="shared" si="2"/>
        <v>-175.47825568332235</v>
      </c>
      <c r="Z5" s="8">
        <f t="shared" si="3"/>
        <v>-167.07392761565856</v>
      </c>
    </row>
    <row r="6" spans="1:26" ht="75" customHeight="1" x14ac:dyDescent="0.2">
      <c r="A6" s="5" t="s">
        <v>52</v>
      </c>
      <c r="B6" s="6" t="s">
        <v>53</v>
      </c>
      <c r="C6" s="6" t="s">
        <v>54</v>
      </c>
      <c r="D6" s="1" t="s">
        <v>55</v>
      </c>
      <c r="E6" s="6">
        <v>2025</v>
      </c>
      <c r="F6" s="6" t="s">
        <v>56</v>
      </c>
      <c r="G6" s="6" t="s">
        <v>57</v>
      </c>
      <c r="H6" s="6">
        <v>290</v>
      </c>
      <c r="I6" s="6">
        <v>490</v>
      </c>
      <c r="J6" s="6" t="s">
        <v>33</v>
      </c>
      <c r="K6" s="6" t="s">
        <v>42</v>
      </c>
      <c r="L6" s="9">
        <f>0.33*0.361</f>
        <v>0.11913</v>
      </c>
      <c r="M6" s="6" t="s">
        <v>32</v>
      </c>
      <c r="N6" s="6" t="s">
        <v>47</v>
      </c>
      <c r="O6" s="6">
        <v>134</v>
      </c>
      <c r="P6" s="6" t="s">
        <v>36</v>
      </c>
      <c r="Q6" s="6">
        <v>4.5999999999999996</v>
      </c>
      <c r="R6" s="6">
        <v>244</v>
      </c>
      <c r="S6" s="6">
        <v>244</v>
      </c>
      <c r="T6" s="6">
        <v>12</v>
      </c>
      <c r="U6" s="7">
        <f t="shared" si="0"/>
        <v>6.4954639035291542E-2</v>
      </c>
      <c r="V6" s="6">
        <v>1</v>
      </c>
      <c r="W6" s="6">
        <v>-94</v>
      </c>
      <c r="X6" s="6">
        <f t="shared" si="1"/>
        <v>-114</v>
      </c>
      <c r="Y6" s="8">
        <f t="shared" si="2"/>
        <v>-172.66819770390885</v>
      </c>
      <c r="Z6" s="8">
        <f t="shared" si="3"/>
        <v>-165.92335433754033</v>
      </c>
    </row>
    <row r="7" spans="1:26" ht="75" customHeight="1" x14ac:dyDescent="0.2">
      <c r="A7" s="5" t="s">
        <v>58</v>
      </c>
      <c r="B7" s="6" t="s">
        <v>59</v>
      </c>
      <c r="C7" s="6" t="s">
        <v>60</v>
      </c>
      <c r="D7" s="1" t="s">
        <v>55</v>
      </c>
      <c r="E7" s="6">
        <v>2025</v>
      </c>
      <c r="F7" s="6" t="s">
        <v>61</v>
      </c>
      <c r="G7" s="6" t="s">
        <v>62</v>
      </c>
      <c r="H7" s="6">
        <v>160</v>
      </c>
      <c r="I7" s="6">
        <v>360</v>
      </c>
      <c r="J7" s="6" t="s">
        <v>63</v>
      </c>
      <c r="K7" s="6" t="s">
        <v>34</v>
      </c>
      <c r="L7" s="6">
        <v>3.7999999999999999E-2</v>
      </c>
      <c r="M7" s="6">
        <v>0.56999999999999995</v>
      </c>
      <c r="N7" s="6" t="s">
        <v>47</v>
      </c>
      <c r="O7" s="6">
        <v>107.2</v>
      </c>
      <c r="P7" s="6" t="s">
        <v>36</v>
      </c>
      <c r="Q7" s="6">
        <v>0.35</v>
      </c>
      <c r="R7" s="6">
        <v>29</v>
      </c>
      <c r="S7" s="6">
        <v>29</v>
      </c>
      <c r="T7" s="6">
        <v>-8.8000000000000007</v>
      </c>
      <c r="U7" s="7">
        <f t="shared" si="0"/>
        <v>4.5457128915738151E-3</v>
      </c>
      <c r="V7" s="6">
        <v>10</v>
      </c>
      <c r="W7" s="6">
        <v>-113.3</v>
      </c>
      <c r="X7" s="6">
        <f t="shared" si="1"/>
        <v>-113.3</v>
      </c>
      <c r="Y7" s="8">
        <f t="shared" si="2"/>
        <v>-179.27991572814545</v>
      </c>
      <c r="Z7" s="8">
        <f t="shared" si="3"/>
        <v>-150.16127661515097</v>
      </c>
    </row>
    <row r="8" spans="1:26" ht="75" customHeight="1" x14ac:dyDescent="0.2">
      <c r="A8" s="5" t="s">
        <v>64</v>
      </c>
      <c r="B8" s="6" t="s">
        <v>65</v>
      </c>
      <c r="C8" s="6" t="s">
        <v>66</v>
      </c>
      <c r="D8" s="6" t="s">
        <v>67</v>
      </c>
      <c r="E8" s="6">
        <v>2025</v>
      </c>
      <c r="F8" s="6" t="s">
        <v>40</v>
      </c>
      <c r="G8" s="6" t="s">
        <v>41</v>
      </c>
      <c r="H8" s="6" t="s">
        <v>32</v>
      </c>
      <c r="I8" s="6" t="s">
        <v>32</v>
      </c>
      <c r="J8" s="6" t="s">
        <v>63</v>
      </c>
      <c r="K8" s="6" t="s">
        <v>34</v>
      </c>
      <c r="L8" s="6" t="s">
        <v>32</v>
      </c>
      <c r="M8" s="6">
        <v>0.44</v>
      </c>
      <c r="N8" s="6" t="s">
        <v>47</v>
      </c>
      <c r="O8" s="6">
        <v>89.6</v>
      </c>
      <c r="P8" s="6" t="s">
        <v>36</v>
      </c>
      <c r="Q8" s="6">
        <v>5.0999999999999996</v>
      </c>
      <c r="R8" s="6">
        <v>2</v>
      </c>
      <c r="S8" s="6" t="s">
        <v>32</v>
      </c>
      <c r="T8" s="6">
        <v>-10.8</v>
      </c>
      <c r="U8" s="7" t="e">
        <f t="shared" si="0"/>
        <v>#VALUE!</v>
      </c>
      <c r="V8" s="6">
        <v>1</v>
      </c>
      <c r="W8" s="6">
        <v>-94.5</v>
      </c>
      <c r="X8" s="6">
        <f t="shared" si="1"/>
        <v>-114.5</v>
      </c>
      <c r="Y8" s="8">
        <f t="shared" si="2"/>
        <v>-190.53586023660267</v>
      </c>
      <c r="Z8" s="8">
        <f t="shared" si="3"/>
        <v>-184.68726375856141</v>
      </c>
    </row>
    <row r="9" spans="1:26" ht="75" customHeight="1" x14ac:dyDescent="0.2">
      <c r="A9" s="5" t="s">
        <v>68</v>
      </c>
      <c r="B9" s="6" t="s">
        <v>69</v>
      </c>
      <c r="C9" s="6" t="s">
        <v>70</v>
      </c>
      <c r="D9" s="6" t="s">
        <v>46</v>
      </c>
      <c r="E9" s="6">
        <v>2025</v>
      </c>
      <c r="F9" s="6" t="s">
        <v>40</v>
      </c>
      <c r="G9" s="6" t="s">
        <v>41</v>
      </c>
      <c r="H9" s="6" t="s">
        <v>32</v>
      </c>
      <c r="I9" s="6" t="s">
        <v>32</v>
      </c>
      <c r="J9" s="6" t="s">
        <v>63</v>
      </c>
      <c r="K9" s="6" t="s">
        <v>34</v>
      </c>
      <c r="L9" s="6">
        <v>2.2499999999999999E-2</v>
      </c>
      <c r="M9" s="6">
        <v>0.14399999999999999</v>
      </c>
      <c r="N9" s="6" t="s">
        <v>35</v>
      </c>
      <c r="O9" s="6">
        <v>81</v>
      </c>
      <c r="P9" s="6" t="s">
        <v>71</v>
      </c>
      <c r="Q9" s="6">
        <v>12</v>
      </c>
      <c r="R9" s="6">
        <v>16</v>
      </c>
      <c r="S9" s="6">
        <v>46</v>
      </c>
      <c r="T9" s="6">
        <v>-4</v>
      </c>
      <c r="U9" s="7">
        <f t="shared" si="0"/>
        <v>8.6545037076847225E-3</v>
      </c>
      <c r="V9" s="6">
        <v>10</v>
      </c>
      <c r="W9" s="6">
        <v>-124.5</v>
      </c>
      <c r="X9" s="6">
        <f t="shared" si="1"/>
        <v>-124.5</v>
      </c>
      <c r="Y9" s="8">
        <f t="shared" si="2"/>
        <v>-190.62850055101376</v>
      </c>
      <c r="Z9" s="8">
        <f t="shared" si="3"/>
        <v>-192.21212547196626</v>
      </c>
    </row>
    <row r="10" spans="1:26" ht="75" customHeight="1" x14ac:dyDescent="0.2">
      <c r="A10" s="5" t="s">
        <v>72</v>
      </c>
      <c r="B10" s="6" t="s">
        <v>73</v>
      </c>
      <c r="C10" s="6" t="s">
        <v>74</v>
      </c>
      <c r="D10" s="1" t="s">
        <v>75</v>
      </c>
      <c r="E10" s="6">
        <v>2025</v>
      </c>
      <c r="F10" s="6" t="s">
        <v>76</v>
      </c>
      <c r="G10" s="6" t="s">
        <v>31</v>
      </c>
      <c r="H10" s="6">
        <v>300</v>
      </c>
      <c r="I10" s="6">
        <v>520</v>
      </c>
      <c r="J10" s="6" t="s">
        <v>63</v>
      </c>
      <c r="K10" s="6" t="s">
        <v>42</v>
      </c>
      <c r="L10" s="6">
        <v>0.27</v>
      </c>
      <c r="M10" s="9">
        <f>1.65*1.65</f>
        <v>2.7224999999999997</v>
      </c>
      <c r="N10" s="6" t="s">
        <v>35</v>
      </c>
      <c r="O10" s="6">
        <v>77.8</v>
      </c>
      <c r="P10" s="6" t="s">
        <v>36</v>
      </c>
      <c r="Q10" s="6">
        <v>7.5</v>
      </c>
      <c r="R10" s="6">
        <v>77.5</v>
      </c>
      <c r="S10" s="6" t="s">
        <v>32</v>
      </c>
      <c r="T10" s="6" t="s">
        <v>77</v>
      </c>
      <c r="U10" s="7" t="e">
        <f t="shared" si="0"/>
        <v>#VALUE!</v>
      </c>
      <c r="V10" s="6">
        <v>1</v>
      </c>
      <c r="W10" s="6">
        <v>-105.2</v>
      </c>
      <c r="X10" s="6">
        <f t="shared" si="1"/>
        <v>-125.2</v>
      </c>
      <c r="Y10" s="8">
        <f t="shared" si="2"/>
        <v>-184.12657491473067</v>
      </c>
      <c r="Z10" s="8">
        <f t="shared" si="3"/>
        <v>-181.62780018256467</v>
      </c>
    </row>
    <row r="11" spans="1:26" ht="75" customHeight="1" x14ac:dyDescent="0.2">
      <c r="A11" s="5" t="s">
        <v>78</v>
      </c>
      <c r="B11" s="6" t="s">
        <v>79</v>
      </c>
      <c r="C11" s="6" t="s">
        <v>80</v>
      </c>
      <c r="D11" s="6" t="s">
        <v>81</v>
      </c>
      <c r="E11" s="6">
        <v>2025</v>
      </c>
      <c r="F11" s="6" t="s">
        <v>40</v>
      </c>
      <c r="G11" s="6" t="s">
        <v>41</v>
      </c>
      <c r="H11" s="6">
        <v>160</v>
      </c>
      <c r="I11" s="6">
        <v>200</v>
      </c>
      <c r="J11" s="6" t="s">
        <v>63</v>
      </c>
      <c r="K11" s="6" t="s">
        <v>34</v>
      </c>
      <c r="L11" s="6">
        <v>6.5000000000000002E-2</v>
      </c>
      <c r="M11" s="9">
        <f>0.456*0.49</f>
        <v>0.22344</v>
      </c>
      <c r="N11" s="6" t="s">
        <v>47</v>
      </c>
      <c r="O11" s="6">
        <v>55.6</v>
      </c>
      <c r="P11" s="6" t="s">
        <v>36</v>
      </c>
      <c r="Q11" s="6">
        <v>0.9</v>
      </c>
      <c r="R11" s="6">
        <v>11.9</v>
      </c>
      <c r="S11" s="6" t="s">
        <v>32</v>
      </c>
      <c r="T11" s="6">
        <v>-2.5</v>
      </c>
      <c r="U11" s="6" t="s">
        <v>32</v>
      </c>
      <c r="V11" s="6">
        <v>1</v>
      </c>
      <c r="W11" s="6">
        <v>-100</v>
      </c>
      <c r="X11" s="6">
        <f t="shared" si="1"/>
        <v>-120</v>
      </c>
      <c r="Y11" s="8">
        <f t="shared" si="2"/>
        <v>-184.14602621771584</v>
      </c>
      <c r="Z11" s="8">
        <f t="shared" si="3"/>
        <v>-163.23087640650235</v>
      </c>
    </row>
    <row r="12" spans="1:26" ht="101.25" customHeight="1" x14ac:dyDescent="0.2">
      <c r="A12" s="5" t="s">
        <v>82</v>
      </c>
      <c r="B12" s="6" t="s">
        <v>83</v>
      </c>
      <c r="C12" s="6" t="s">
        <v>84</v>
      </c>
      <c r="D12" s="6" t="s">
        <v>85</v>
      </c>
      <c r="E12" s="6">
        <v>2025</v>
      </c>
      <c r="F12" s="6" t="s">
        <v>40</v>
      </c>
      <c r="G12" s="6" t="s">
        <v>41</v>
      </c>
      <c r="H12" s="6" t="s">
        <v>32</v>
      </c>
      <c r="I12" s="6" t="s">
        <v>32</v>
      </c>
      <c r="J12" s="6" t="s">
        <v>63</v>
      </c>
      <c r="K12" s="6" t="s">
        <v>42</v>
      </c>
      <c r="L12" s="6">
        <v>0.09</v>
      </c>
      <c r="M12" s="1">
        <v>0.23</v>
      </c>
      <c r="N12" s="6" t="s">
        <v>47</v>
      </c>
      <c r="O12" s="6">
        <v>36</v>
      </c>
      <c r="P12" s="6" t="s">
        <v>71</v>
      </c>
      <c r="Q12" s="9">
        <v>12.5</v>
      </c>
      <c r="R12" s="6">
        <v>2.4</v>
      </c>
      <c r="S12" s="6" t="s">
        <v>32</v>
      </c>
      <c r="T12" s="6">
        <v>-3</v>
      </c>
      <c r="U12" s="7">
        <v>3.7999999999999999E-2</v>
      </c>
      <c r="V12" s="6">
        <v>10</v>
      </c>
      <c r="W12" s="6">
        <v>-120.6</v>
      </c>
      <c r="X12" s="6">
        <f t="shared" si="1"/>
        <v>-120.6</v>
      </c>
      <c r="Y12" s="8">
        <f t="shared" si="2"/>
        <v>-187.92393759822966</v>
      </c>
      <c r="Z12" s="8">
        <f t="shared" si="3"/>
        <v>-189.86213785839078</v>
      </c>
    </row>
    <row r="13" spans="1:26" ht="75" customHeight="1" x14ac:dyDescent="0.2">
      <c r="A13" s="5" t="s">
        <v>86</v>
      </c>
      <c r="B13" s="6" t="s">
        <v>87</v>
      </c>
      <c r="C13" s="6" t="s">
        <v>88</v>
      </c>
      <c r="D13" s="6" t="s">
        <v>89</v>
      </c>
      <c r="E13" s="6">
        <v>2025</v>
      </c>
      <c r="F13" s="6" t="s">
        <v>40</v>
      </c>
      <c r="G13" s="6" t="s">
        <v>41</v>
      </c>
      <c r="H13" s="6" t="s">
        <v>32</v>
      </c>
      <c r="I13" s="6" t="s">
        <v>32</v>
      </c>
      <c r="J13" s="6" t="s">
        <v>63</v>
      </c>
      <c r="K13" s="6" t="s">
        <v>42</v>
      </c>
      <c r="L13" s="6">
        <v>3.1E-2</v>
      </c>
      <c r="M13" s="6">
        <v>4.2999999999999997E-2</v>
      </c>
      <c r="N13" s="6" t="s">
        <v>47</v>
      </c>
      <c r="O13" s="6">
        <f>(26.9+17.8)/2</f>
        <v>22.35</v>
      </c>
      <c r="P13" s="6" t="s">
        <v>71</v>
      </c>
      <c r="Q13" s="6">
        <v>40.700000000000003</v>
      </c>
      <c r="R13" s="6">
        <v>12.5</v>
      </c>
      <c r="S13" s="6" t="s">
        <v>32</v>
      </c>
      <c r="T13" s="6">
        <v>-8.1</v>
      </c>
      <c r="U13" s="6" t="s">
        <v>32</v>
      </c>
      <c r="V13" s="6">
        <v>10</v>
      </c>
      <c r="W13" s="6">
        <v>-118.1</v>
      </c>
      <c r="X13" s="6">
        <f t="shared" si="1"/>
        <v>-118.1</v>
      </c>
      <c r="Y13" s="8">
        <f t="shared" si="2"/>
        <v>-174.11645041927852</v>
      </c>
      <c r="Z13" s="8">
        <f t="shared" si="3"/>
        <v>-186.30833860378291</v>
      </c>
    </row>
    <row r="14" spans="1:26" ht="75" customHeight="1" x14ac:dyDescent="0.2">
      <c r="A14" s="5" t="s">
        <v>90</v>
      </c>
      <c r="B14" s="6" t="s">
        <v>91</v>
      </c>
      <c r="C14" s="6" t="s">
        <v>92</v>
      </c>
      <c r="D14" s="1" t="s">
        <v>93</v>
      </c>
      <c r="E14" s="6">
        <v>2025</v>
      </c>
      <c r="F14" s="6" t="s">
        <v>40</v>
      </c>
      <c r="G14" s="6" t="s">
        <v>41</v>
      </c>
      <c r="H14" s="6" t="s">
        <v>32</v>
      </c>
      <c r="I14" s="6" t="s">
        <v>32</v>
      </c>
      <c r="J14" s="6" t="s">
        <v>63</v>
      </c>
      <c r="K14" s="6" t="s">
        <v>34</v>
      </c>
      <c r="L14" s="6">
        <v>6.0999999999999999E-2</v>
      </c>
      <c r="M14" s="6">
        <v>0.27</v>
      </c>
      <c r="N14" s="6" t="s">
        <v>47</v>
      </c>
      <c r="O14" s="6">
        <f>(22.4+18.5)/2</f>
        <v>20.45</v>
      </c>
      <c r="P14" s="6" t="s">
        <v>71</v>
      </c>
      <c r="Q14" s="6">
        <v>19.100000000000001</v>
      </c>
      <c r="R14" s="6">
        <v>5</v>
      </c>
      <c r="S14" s="6" t="s">
        <v>32</v>
      </c>
      <c r="T14" s="6">
        <v>-18.8</v>
      </c>
      <c r="U14" s="6" t="s">
        <v>32</v>
      </c>
      <c r="V14" s="6">
        <v>10</v>
      </c>
      <c r="W14" s="6">
        <v>-130.4</v>
      </c>
      <c r="X14" s="6">
        <f t="shared" si="1"/>
        <v>-130.4</v>
      </c>
      <c r="Y14" s="8">
        <f t="shared" si="2"/>
        <v>-189.62416620350703</v>
      </c>
      <c r="Z14" s="8">
        <f t="shared" si="3"/>
        <v>-195.24483354846157</v>
      </c>
    </row>
    <row r="15" spans="1:26" ht="75" customHeight="1" x14ac:dyDescent="0.2">
      <c r="A15" s="5" t="s">
        <v>94</v>
      </c>
      <c r="B15" s="6" t="s">
        <v>95</v>
      </c>
      <c r="C15" s="6" t="s">
        <v>96</v>
      </c>
      <c r="D15" s="6" t="s">
        <v>81</v>
      </c>
      <c r="E15" s="6">
        <v>2025</v>
      </c>
      <c r="F15" s="6" t="s">
        <v>76</v>
      </c>
      <c r="G15" s="6" t="s">
        <v>41</v>
      </c>
      <c r="H15" s="6" t="s">
        <v>32</v>
      </c>
      <c r="I15" s="6" t="s">
        <v>32</v>
      </c>
      <c r="J15" s="6" t="s">
        <v>63</v>
      </c>
      <c r="K15" s="6" t="s">
        <v>34</v>
      </c>
      <c r="L15" s="6">
        <v>0.105</v>
      </c>
      <c r="M15" s="6">
        <v>0.37</v>
      </c>
      <c r="N15" s="6" t="s">
        <v>47</v>
      </c>
      <c r="O15" s="6">
        <v>13.44</v>
      </c>
      <c r="P15" s="6" t="s">
        <v>71</v>
      </c>
      <c r="Q15" s="6">
        <v>39.67</v>
      </c>
      <c r="R15" s="6">
        <v>10.7</v>
      </c>
      <c r="S15" s="6">
        <v>10.7</v>
      </c>
      <c r="T15" s="6">
        <v>-1.85</v>
      </c>
      <c r="U15" s="7">
        <f t="shared" ref="U15:U24" si="4">10^(T15/10)/S15</f>
        <v>6.1040238565184333E-2</v>
      </c>
      <c r="V15" s="6">
        <v>10</v>
      </c>
      <c r="W15" s="6">
        <v>-138</v>
      </c>
      <c r="X15" s="6">
        <f t="shared" si="1"/>
        <v>-138</v>
      </c>
      <c r="Y15" s="8">
        <f t="shared" si="2"/>
        <v>-190.27414759750405</v>
      </c>
      <c r="Z15" s="8">
        <f t="shared" si="3"/>
        <v>-202.24339160698707</v>
      </c>
    </row>
    <row r="16" spans="1:26" ht="101.25" customHeight="1" x14ac:dyDescent="0.2">
      <c r="A16" s="5" t="s">
        <v>97</v>
      </c>
      <c r="B16" s="6" t="s">
        <v>98</v>
      </c>
      <c r="C16" s="6" t="s">
        <v>99</v>
      </c>
      <c r="D16" s="6" t="s">
        <v>100</v>
      </c>
      <c r="E16" s="6">
        <v>2024</v>
      </c>
      <c r="F16" s="6" t="s">
        <v>30</v>
      </c>
      <c r="G16" s="6" t="s">
        <v>31</v>
      </c>
      <c r="H16" s="6">
        <v>250</v>
      </c>
      <c r="I16" s="6">
        <v>370</v>
      </c>
      <c r="J16" s="6" t="s">
        <v>33</v>
      </c>
      <c r="K16" s="6" t="s">
        <v>34</v>
      </c>
      <c r="L16" s="6">
        <f>0.13*0.18</f>
        <v>2.3400000000000001E-2</v>
      </c>
      <c r="M16" s="6">
        <f>0.81*0.785</f>
        <v>0.63585000000000003</v>
      </c>
      <c r="N16" s="6" t="s">
        <v>35</v>
      </c>
      <c r="O16" s="6">
        <v>140</v>
      </c>
      <c r="P16" s="6" t="s">
        <v>36</v>
      </c>
      <c r="Q16" s="6">
        <v>13</v>
      </c>
      <c r="R16" s="6">
        <v>132</v>
      </c>
      <c r="S16" s="6">
        <v>237.6</v>
      </c>
      <c r="T16" s="6">
        <v>-1.5</v>
      </c>
      <c r="U16" s="7">
        <f t="shared" si="4"/>
        <v>2.9795697995965401E-3</v>
      </c>
      <c r="V16" s="6">
        <v>1</v>
      </c>
      <c r="W16" s="6">
        <v>-98.7</v>
      </c>
      <c r="X16" s="6">
        <f t="shared" si="1"/>
        <v>-118.7</v>
      </c>
      <c r="Y16" s="8">
        <f t="shared" si="2"/>
        <v>-180.41682140150627</v>
      </c>
      <c r="Z16" s="8">
        <f t="shared" si="3"/>
        <v>-182.69568844764299</v>
      </c>
    </row>
    <row r="17" spans="1:26" ht="75" x14ac:dyDescent="0.2">
      <c r="A17" s="5" t="s">
        <v>101</v>
      </c>
      <c r="B17" s="6" t="s">
        <v>102</v>
      </c>
      <c r="C17" s="6" t="s">
        <v>103</v>
      </c>
      <c r="D17" s="6" t="s">
        <v>85</v>
      </c>
      <c r="E17" s="6">
        <v>2024</v>
      </c>
      <c r="F17" s="6" t="s">
        <v>104</v>
      </c>
      <c r="G17" s="6" t="s">
        <v>41</v>
      </c>
      <c r="H17" s="6" t="s">
        <v>32</v>
      </c>
      <c r="I17" s="6" t="s">
        <v>32</v>
      </c>
      <c r="J17" s="6" t="s">
        <v>63</v>
      </c>
      <c r="K17" s="6" t="s">
        <v>34</v>
      </c>
      <c r="L17" s="6">
        <v>7.5999999999999998E-2</v>
      </c>
      <c r="M17" s="6">
        <v>0.36</v>
      </c>
      <c r="N17" s="6" t="s">
        <v>35</v>
      </c>
      <c r="O17" s="6">
        <v>105</v>
      </c>
      <c r="P17" s="6" t="s">
        <v>36</v>
      </c>
      <c r="Q17" s="6">
        <v>5.7</v>
      </c>
      <c r="R17" s="6">
        <v>44</v>
      </c>
      <c r="S17" s="6">
        <v>44</v>
      </c>
      <c r="T17" s="6">
        <v>-10</v>
      </c>
      <c r="U17" s="7">
        <f t="shared" si="4"/>
        <v>2.2727272727272731E-3</v>
      </c>
      <c r="V17" s="6">
        <v>1</v>
      </c>
      <c r="W17" s="6">
        <v>-92.35</v>
      </c>
      <c r="X17" s="6">
        <f t="shared" si="1"/>
        <v>-112.35</v>
      </c>
      <c r="Y17" s="8">
        <v>-176</v>
      </c>
      <c r="Z17" s="8">
        <v>-171.5</v>
      </c>
    </row>
    <row r="18" spans="1:26" ht="75" customHeight="1" x14ac:dyDescent="0.2">
      <c r="A18" s="5" t="s">
        <v>105</v>
      </c>
      <c r="B18" s="6" t="s">
        <v>106</v>
      </c>
      <c r="C18" s="6" t="s">
        <v>107</v>
      </c>
      <c r="D18" s="6" t="s">
        <v>93</v>
      </c>
      <c r="E18" s="6">
        <v>2024</v>
      </c>
      <c r="F18" s="6" t="s">
        <v>40</v>
      </c>
      <c r="G18" s="6" t="s">
        <v>41</v>
      </c>
      <c r="H18" s="6" t="s">
        <v>32</v>
      </c>
      <c r="I18" s="6" t="s">
        <v>32</v>
      </c>
      <c r="J18" s="6" t="s">
        <v>33</v>
      </c>
      <c r="K18" s="6" t="s">
        <v>34</v>
      </c>
      <c r="L18" s="6">
        <v>8.7499999999999994E-2</v>
      </c>
      <c r="M18" s="6">
        <v>0.25</v>
      </c>
      <c r="N18" s="6" t="s">
        <v>35</v>
      </c>
      <c r="O18" s="6">
        <v>79</v>
      </c>
      <c r="P18" s="6" t="s">
        <v>36</v>
      </c>
      <c r="Q18" s="6">
        <v>7.2</v>
      </c>
      <c r="R18" s="6">
        <v>3.95</v>
      </c>
      <c r="S18" s="6">
        <v>3.95</v>
      </c>
      <c r="T18" s="6">
        <v>-9.3000000000000007</v>
      </c>
      <c r="U18" s="7">
        <f t="shared" si="4"/>
        <v>2.9744241897203268E-2</v>
      </c>
      <c r="V18" s="6">
        <v>10</v>
      </c>
      <c r="W18" s="6">
        <v>-119.1</v>
      </c>
      <c r="X18" s="6">
        <f t="shared" si="1"/>
        <v>-119.1</v>
      </c>
      <c r="Y18" s="8">
        <f>W18-20*LOG10(O18*1000000000/(V18*1000000))+10*LOG10(R18)</f>
        <v>-191.0865708695442</v>
      </c>
      <c r="Z18" s="8">
        <f>W18-20*LOG10(O18*1000000000/(V18*1000000))+10*LOG10(R18)-20*LOG(Q18/10)</f>
        <v>-188.23322079816958</v>
      </c>
    </row>
    <row r="19" spans="1:26" ht="75" customHeight="1" x14ac:dyDescent="0.2">
      <c r="A19" s="5" t="s">
        <v>101</v>
      </c>
      <c r="B19" s="6" t="s">
        <v>102</v>
      </c>
      <c r="C19" s="6" t="s">
        <v>103</v>
      </c>
      <c r="D19" s="6" t="s">
        <v>85</v>
      </c>
      <c r="E19" s="6">
        <v>2024</v>
      </c>
      <c r="F19" s="6" t="s">
        <v>104</v>
      </c>
      <c r="G19" s="6" t="s">
        <v>41</v>
      </c>
      <c r="H19" s="6" t="s">
        <v>32</v>
      </c>
      <c r="I19" s="6" t="s">
        <v>32</v>
      </c>
      <c r="J19" s="6" t="s">
        <v>63</v>
      </c>
      <c r="K19" s="6" t="s">
        <v>34</v>
      </c>
      <c r="L19" s="6">
        <v>7.5999999999999998E-2</v>
      </c>
      <c r="M19" s="6">
        <v>0.36</v>
      </c>
      <c r="N19" s="6" t="s">
        <v>35</v>
      </c>
      <c r="O19" s="6">
        <v>71.900000000000006</v>
      </c>
      <c r="P19" s="6" t="s">
        <v>36</v>
      </c>
      <c r="Q19" s="6">
        <v>5.7</v>
      </c>
      <c r="R19" s="6">
        <v>44</v>
      </c>
      <c r="S19" s="6">
        <v>44</v>
      </c>
      <c r="T19" s="6">
        <v>-10</v>
      </c>
      <c r="U19" s="7">
        <f t="shared" si="4"/>
        <v>2.2727272727272731E-3</v>
      </c>
      <c r="V19" s="6">
        <v>1</v>
      </c>
      <c r="W19" s="6">
        <v>-102.5</v>
      </c>
      <c r="X19" s="6">
        <f t="shared" si="1"/>
        <v>-122.5</v>
      </c>
      <c r="Y19" s="8">
        <v>-182.5</v>
      </c>
      <c r="Z19" s="8">
        <v>-178</v>
      </c>
    </row>
    <row r="20" spans="1:26" ht="75" customHeight="1" x14ac:dyDescent="0.2">
      <c r="A20" s="5" t="s">
        <v>108</v>
      </c>
      <c r="B20" s="6" t="s">
        <v>109</v>
      </c>
      <c r="C20" s="6" t="s">
        <v>110</v>
      </c>
      <c r="D20" s="6" t="s">
        <v>111</v>
      </c>
      <c r="E20" s="6">
        <v>2024</v>
      </c>
      <c r="F20" s="6" t="s">
        <v>112</v>
      </c>
      <c r="G20" s="6" t="s">
        <v>41</v>
      </c>
      <c r="H20" s="6" t="s">
        <v>32</v>
      </c>
      <c r="I20" s="6" t="s">
        <v>32</v>
      </c>
      <c r="J20" s="6" t="s">
        <v>63</v>
      </c>
      <c r="K20" s="6" t="s">
        <v>34</v>
      </c>
      <c r="L20" s="6">
        <v>0.12</v>
      </c>
      <c r="M20" s="6">
        <f>0.8*0.7</f>
        <v>0.55999999999999994</v>
      </c>
      <c r="N20" s="6" t="s">
        <v>35</v>
      </c>
      <c r="O20" s="6">
        <v>60.9</v>
      </c>
      <c r="P20" s="6" t="s">
        <v>36</v>
      </c>
      <c r="Q20" s="6">
        <v>15.6</v>
      </c>
      <c r="R20" s="6">
        <v>11.7</v>
      </c>
      <c r="S20" s="6">
        <v>11.7</v>
      </c>
      <c r="T20" s="6" t="s">
        <v>32</v>
      </c>
      <c r="U20" s="7" t="e">
        <f t="shared" si="4"/>
        <v>#VALUE!</v>
      </c>
      <c r="V20" s="6">
        <v>1</v>
      </c>
      <c r="W20" s="6">
        <v>-99.8</v>
      </c>
      <c r="X20" s="6">
        <f t="shared" si="1"/>
        <v>-119.8</v>
      </c>
      <c r="Y20" s="8">
        <f t="shared" ref="Y20:Y51" si="5">W20-20*LOG10(O20*1000000000/(V20*1000000))+10*LOG10(R20)</f>
        <v>-184.81048723519586</v>
      </c>
      <c r="Z20" s="8">
        <f t="shared" ref="Z20:Z51" si="6">W20-20*LOG10(O20*1000000000/(V20*1000000))+10*LOG10(R20)-20*LOG(Q20/10)</f>
        <v>-188.67297920228509</v>
      </c>
    </row>
    <row r="21" spans="1:26" ht="75" customHeight="1" x14ac:dyDescent="0.2">
      <c r="A21" s="5" t="s">
        <v>113</v>
      </c>
      <c r="B21" s="6" t="s">
        <v>114</v>
      </c>
      <c r="C21" s="6" t="s">
        <v>115</v>
      </c>
      <c r="D21" s="6" t="s">
        <v>116</v>
      </c>
      <c r="E21" s="6">
        <v>2024</v>
      </c>
      <c r="F21" s="6" t="s">
        <v>117</v>
      </c>
      <c r="G21" s="6" t="s">
        <v>118</v>
      </c>
      <c r="H21" s="6">
        <v>350</v>
      </c>
      <c r="I21" s="6">
        <v>370</v>
      </c>
      <c r="J21" s="6" t="s">
        <v>63</v>
      </c>
      <c r="K21" s="6" t="s">
        <v>42</v>
      </c>
      <c r="L21" s="6">
        <v>7.0000000000000007E-2</v>
      </c>
      <c r="M21" s="6">
        <f>0.54*0.55</f>
        <v>0.29700000000000004</v>
      </c>
      <c r="N21" s="6" t="s">
        <v>35</v>
      </c>
      <c r="O21" s="6">
        <v>39.700000000000003</v>
      </c>
      <c r="P21" s="6" t="s">
        <v>36</v>
      </c>
      <c r="Q21" s="6">
        <v>5.4</v>
      </c>
      <c r="R21" s="6">
        <v>19.7</v>
      </c>
      <c r="S21" s="6">
        <v>24.5</v>
      </c>
      <c r="T21" s="6">
        <v>-10</v>
      </c>
      <c r="U21" s="7">
        <f t="shared" si="4"/>
        <v>4.0816326530612249E-3</v>
      </c>
      <c r="V21" s="6">
        <v>1</v>
      </c>
      <c r="W21" s="6">
        <v>-102</v>
      </c>
      <c r="X21" s="6">
        <f t="shared" si="1"/>
        <v>-122</v>
      </c>
      <c r="Y21" s="8">
        <f t="shared" si="5"/>
        <v>-181.03114787364638</v>
      </c>
      <c r="Z21" s="8">
        <f t="shared" si="6"/>
        <v>-175.67902307010576</v>
      </c>
    </row>
    <row r="22" spans="1:26" ht="75" customHeight="1" x14ac:dyDescent="0.2">
      <c r="A22" s="5" t="s">
        <v>119</v>
      </c>
      <c r="B22" s="6" t="s">
        <v>120</v>
      </c>
      <c r="C22" s="6" t="s">
        <v>121</v>
      </c>
      <c r="D22" s="6" t="s">
        <v>122</v>
      </c>
      <c r="E22" s="6">
        <v>2024</v>
      </c>
      <c r="F22" s="6" t="s">
        <v>40</v>
      </c>
      <c r="G22" s="6" t="s">
        <v>41</v>
      </c>
      <c r="H22" s="6">
        <v>160</v>
      </c>
      <c r="I22" s="6">
        <v>250</v>
      </c>
      <c r="J22" s="6" t="s">
        <v>63</v>
      </c>
      <c r="K22" s="6" t="s">
        <v>34</v>
      </c>
      <c r="L22" s="6">
        <v>0.06</v>
      </c>
      <c r="M22" s="6">
        <v>0.17</v>
      </c>
      <c r="N22" s="6" t="s">
        <v>35</v>
      </c>
      <c r="O22" s="6">
        <f>AVERAGE(24.6,30.4)</f>
        <v>27.5</v>
      </c>
      <c r="P22" s="6" t="s">
        <v>71</v>
      </c>
      <c r="Q22" s="6">
        <v>21.1</v>
      </c>
      <c r="R22" s="6">
        <v>8.4</v>
      </c>
      <c r="S22" s="6">
        <v>15</v>
      </c>
      <c r="T22" s="6">
        <v>1.7</v>
      </c>
      <c r="U22" s="7">
        <f t="shared" si="4"/>
        <v>9.8607225877880497E-2</v>
      </c>
      <c r="V22" s="6">
        <v>1</v>
      </c>
      <c r="W22" s="6">
        <v>-91.3</v>
      </c>
      <c r="X22" s="6">
        <f t="shared" si="1"/>
        <v>-111.3</v>
      </c>
      <c r="Y22" s="8">
        <f t="shared" si="5"/>
        <v>-170.84386101598645</v>
      </c>
      <c r="Z22" s="8">
        <f t="shared" si="6"/>
        <v>-177.3295101219403</v>
      </c>
    </row>
    <row r="23" spans="1:26" ht="75" customHeight="1" x14ac:dyDescent="0.2">
      <c r="A23" s="6" t="s">
        <v>123</v>
      </c>
      <c r="B23" s="6" t="s">
        <v>124</v>
      </c>
      <c r="C23" s="6" t="s">
        <v>125</v>
      </c>
      <c r="D23" s="6" t="s">
        <v>126</v>
      </c>
      <c r="E23" s="6">
        <v>2023</v>
      </c>
      <c r="F23" s="6" t="s">
        <v>104</v>
      </c>
      <c r="G23" s="6" t="s">
        <v>41</v>
      </c>
      <c r="H23" s="6" t="s">
        <v>32</v>
      </c>
      <c r="I23" s="6" t="s">
        <v>32</v>
      </c>
      <c r="J23" s="6" t="s">
        <v>33</v>
      </c>
      <c r="K23" s="6" t="s">
        <v>34</v>
      </c>
      <c r="L23" s="6">
        <v>1.0999999999999999E-2</v>
      </c>
      <c r="M23" s="6">
        <f>0.3*0.27</f>
        <v>8.1000000000000003E-2</v>
      </c>
      <c r="N23" s="6" t="s">
        <v>47</v>
      </c>
      <c r="O23" s="6">
        <v>298</v>
      </c>
      <c r="P23" s="6" t="s">
        <v>36</v>
      </c>
      <c r="Q23" s="6">
        <v>3.35</v>
      </c>
      <c r="R23" s="6">
        <v>10.199999999999999</v>
      </c>
      <c r="S23" s="6">
        <v>10.199999999999999</v>
      </c>
      <c r="T23" s="6">
        <v>-4</v>
      </c>
      <c r="U23" s="7">
        <f t="shared" si="4"/>
        <v>3.903011476014679E-2</v>
      </c>
      <c r="V23" s="6">
        <v>10</v>
      </c>
      <c r="W23" s="6">
        <v>-99.6</v>
      </c>
      <c r="X23" s="6">
        <f t="shared" si="1"/>
        <v>-99.6</v>
      </c>
      <c r="Y23" s="8">
        <f t="shared" si="5"/>
        <v>-178.9983235639059</v>
      </c>
      <c r="Z23" s="8">
        <f t="shared" si="6"/>
        <v>-169.4992197046428</v>
      </c>
    </row>
    <row r="24" spans="1:26" ht="75" customHeight="1" x14ac:dyDescent="0.2">
      <c r="A24" s="5" t="s">
        <v>127</v>
      </c>
      <c r="B24" s="6" t="s">
        <v>128</v>
      </c>
      <c r="C24" s="6" t="s">
        <v>129</v>
      </c>
      <c r="D24" s="6" t="s">
        <v>130</v>
      </c>
      <c r="E24" s="6">
        <v>2023</v>
      </c>
      <c r="F24" s="6" t="s">
        <v>104</v>
      </c>
      <c r="G24" s="6" t="s">
        <v>41</v>
      </c>
      <c r="H24" s="6" t="s">
        <v>32</v>
      </c>
      <c r="I24" s="6">
        <v>275</v>
      </c>
      <c r="J24" s="6" t="s">
        <v>33</v>
      </c>
      <c r="K24" s="6" t="s">
        <v>34</v>
      </c>
      <c r="L24" s="6">
        <v>2.1600000000000001E-2</v>
      </c>
      <c r="M24" s="6">
        <v>0.09</v>
      </c>
      <c r="N24" s="6" t="s">
        <v>35</v>
      </c>
      <c r="O24" s="6">
        <v>267.2</v>
      </c>
      <c r="P24" s="6" t="s">
        <v>36</v>
      </c>
      <c r="Q24" s="6">
        <v>10.16</v>
      </c>
      <c r="R24" s="6">
        <v>33</v>
      </c>
      <c r="S24" s="6">
        <v>33</v>
      </c>
      <c r="T24" s="6">
        <v>-3.5</v>
      </c>
      <c r="U24" s="7">
        <f t="shared" si="4"/>
        <v>1.3535866428817066E-2</v>
      </c>
      <c r="V24" s="6">
        <v>10</v>
      </c>
      <c r="W24" s="6">
        <v>-91.8</v>
      </c>
      <c r="X24" s="6">
        <f t="shared" si="1"/>
        <v>-91.8</v>
      </c>
      <c r="Y24" s="8">
        <f t="shared" si="5"/>
        <v>-165.1515896772913</v>
      </c>
      <c r="Z24" s="8">
        <f t="shared" si="6"/>
        <v>-165.2894638362493</v>
      </c>
    </row>
    <row r="25" spans="1:26" ht="75" customHeight="1" x14ac:dyDescent="0.2">
      <c r="A25" s="6" t="s">
        <v>131</v>
      </c>
      <c r="B25" s="6" t="s">
        <v>132</v>
      </c>
      <c r="C25" s="6" t="s">
        <v>133</v>
      </c>
      <c r="D25" s="6" t="s">
        <v>29</v>
      </c>
      <c r="E25" s="6">
        <v>2023</v>
      </c>
      <c r="F25" s="6" t="s">
        <v>40</v>
      </c>
      <c r="G25" s="6" t="s">
        <v>41</v>
      </c>
      <c r="H25" s="6" t="s">
        <v>32</v>
      </c>
      <c r="I25" s="6" t="s">
        <v>32</v>
      </c>
      <c r="J25" s="6" t="s">
        <v>63</v>
      </c>
      <c r="K25" s="6" t="s">
        <v>34</v>
      </c>
      <c r="L25" s="6">
        <v>8.0999999999999996E-3</v>
      </c>
      <c r="M25" s="6">
        <v>2.1999999999999999E-2</v>
      </c>
      <c r="N25" s="6" t="s">
        <v>47</v>
      </c>
      <c r="O25" s="6">
        <v>162.1</v>
      </c>
      <c r="P25" s="6" t="s">
        <v>36</v>
      </c>
      <c r="Q25" s="6">
        <v>5.2</v>
      </c>
      <c r="R25" s="6">
        <v>5.6</v>
      </c>
      <c r="S25" s="6" t="s">
        <v>32</v>
      </c>
      <c r="T25" s="6">
        <v>-9.3000000000000007</v>
      </c>
      <c r="U25" s="6" t="s">
        <v>32</v>
      </c>
      <c r="V25" s="6">
        <v>10</v>
      </c>
      <c r="W25" s="6">
        <v>-105</v>
      </c>
      <c r="X25" s="6">
        <f t="shared" si="1"/>
        <v>-105</v>
      </c>
      <c r="Y25" s="8">
        <f t="shared" si="5"/>
        <v>-181.7137800269083</v>
      </c>
      <c r="Z25" s="8">
        <f t="shared" si="6"/>
        <v>-176.03384689960427</v>
      </c>
    </row>
    <row r="26" spans="1:26" ht="75" customHeight="1" x14ac:dyDescent="0.2">
      <c r="A26" s="5" t="s">
        <v>134</v>
      </c>
      <c r="B26" s="6" t="s">
        <v>135</v>
      </c>
      <c r="C26" s="6" t="s">
        <v>136</v>
      </c>
      <c r="D26" s="6" t="s">
        <v>85</v>
      </c>
      <c r="E26" s="6">
        <v>2023</v>
      </c>
      <c r="F26" s="6" t="s">
        <v>112</v>
      </c>
      <c r="G26" s="6" t="s">
        <v>41</v>
      </c>
      <c r="H26" s="6" t="s">
        <v>32</v>
      </c>
      <c r="I26" s="6" t="s">
        <v>32</v>
      </c>
      <c r="J26" s="6" t="s">
        <v>33</v>
      </c>
      <c r="K26" s="6" t="s">
        <v>42</v>
      </c>
      <c r="L26" s="6">
        <v>3.5000000000000003E-2</v>
      </c>
      <c r="M26" s="6">
        <v>0.22800000000000001</v>
      </c>
      <c r="N26" s="6" t="s">
        <v>35</v>
      </c>
      <c r="O26" s="6">
        <v>102.33</v>
      </c>
      <c r="P26" s="6" t="s">
        <v>36</v>
      </c>
      <c r="Q26" s="6">
        <v>14.1</v>
      </c>
      <c r="R26" s="6">
        <v>62.23</v>
      </c>
      <c r="S26" s="6">
        <v>62.23</v>
      </c>
      <c r="T26" s="6">
        <v>-19</v>
      </c>
      <c r="U26" s="7">
        <f>10^(T26/10)/S26</f>
        <v>2.0230201057274089E-4</v>
      </c>
      <c r="V26" s="6">
        <v>10</v>
      </c>
      <c r="W26" s="6">
        <v>-109.17</v>
      </c>
      <c r="X26" s="6">
        <f t="shared" si="1"/>
        <v>-109.17</v>
      </c>
      <c r="Y26" s="8">
        <f t="shared" si="5"/>
        <v>-171.43006147269648</v>
      </c>
      <c r="Z26" s="8">
        <f t="shared" si="6"/>
        <v>-174.41444372580409</v>
      </c>
    </row>
    <row r="27" spans="1:26" ht="75" customHeight="1" x14ac:dyDescent="0.2">
      <c r="A27" s="5" t="s">
        <v>134</v>
      </c>
      <c r="B27" s="6" t="s">
        <v>135</v>
      </c>
      <c r="C27" s="6" t="s">
        <v>136</v>
      </c>
      <c r="D27" s="6" t="s">
        <v>85</v>
      </c>
      <c r="E27" s="6">
        <v>2023</v>
      </c>
      <c r="F27" s="6" t="s">
        <v>112</v>
      </c>
      <c r="G27" s="6" t="s">
        <v>41</v>
      </c>
      <c r="H27" s="6" t="s">
        <v>32</v>
      </c>
      <c r="I27" s="6" t="s">
        <v>32</v>
      </c>
      <c r="J27" s="6" t="s">
        <v>33</v>
      </c>
      <c r="K27" s="6" t="s">
        <v>42</v>
      </c>
      <c r="L27" s="6">
        <v>3.5000000000000003E-2</v>
      </c>
      <c r="M27" s="6">
        <v>0.22800000000000001</v>
      </c>
      <c r="N27" s="6" t="s">
        <v>35</v>
      </c>
      <c r="O27" s="6">
        <v>91.04</v>
      </c>
      <c r="P27" s="6" t="s">
        <v>36</v>
      </c>
      <c r="Q27" s="6">
        <v>10.4</v>
      </c>
      <c r="R27" s="6">
        <v>21.21</v>
      </c>
      <c r="S27" s="6">
        <v>21.21</v>
      </c>
      <c r="T27" s="6">
        <v>-27</v>
      </c>
      <c r="U27" s="7">
        <f>10^(T27/10)/S27</f>
        <v>9.4071773454449685E-5</v>
      </c>
      <c r="V27" s="6">
        <v>10</v>
      </c>
      <c r="W27" s="6">
        <v>-115.9</v>
      </c>
      <c r="X27" s="6">
        <f t="shared" si="1"/>
        <v>-115.9</v>
      </c>
      <c r="Y27" s="8">
        <f t="shared" si="5"/>
        <v>-181.81923829585429</v>
      </c>
      <c r="Z27" s="8">
        <f t="shared" si="6"/>
        <v>-182.15990508182989</v>
      </c>
    </row>
    <row r="28" spans="1:26" ht="75" customHeight="1" x14ac:dyDescent="0.2">
      <c r="A28" s="5" t="s">
        <v>137</v>
      </c>
      <c r="B28" s="6" t="s">
        <v>138</v>
      </c>
      <c r="C28" s="6" t="s">
        <v>139</v>
      </c>
      <c r="D28" s="6" t="s">
        <v>140</v>
      </c>
      <c r="E28" s="6">
        <v>2023</v>
      </c>
      <c r="F28" s="6" t="s">
        <v>30</v>
      </c>
      <c r="G28" s="6" t="s">
        <v>31</v>
      </c>
      <c r="H28" s="6">
        <v>250</v>
      </c>
      <c r="I28" s="6">
        <v>370</v>
      </c>
      <c r="J28" s="6" t="s">
        <v>63</v>
      </c>
      <c r="K28" s="6" t="s">
        <v>34</v>
      </c>
      <c r="L28" s="6">
        <v>0.27</v>
      </c>
      <c r="M28" s="8">
        <f>1.44*1.44</f>
        <v>2.0735999999999999</v>
      </c>
      <c r="N28" s="6" t="s">
        <v>35</v>
      </c>
      <c r="O28" s="6">
        <v>82.8</v>
      </c>
      <c r="P28" s="6" t="s">
        <v>36</v>
      </c>
      <c r="Q28" s="6">
        <v>10.6</v>
      </c>
      <c r="R28" s="6">
        <v>62.7</v>
      </c>
      <c r="S28" s="6">
        <v>260.7</v>
      </c>
      <c r="T28" s="6" t="s">
        <v>32</v>
      </c>
      <c r="U28" s="6" t="s">
        <v>32</v>
      </c>
      <c r="V28" s="6">
        <v>1</v>
      </c>
      <c r="W28" s="6">
        <v>-104</v>
      </c>
      <c r="X28" s="6">
        <f t="shared" si="1"/>
        <v>-124</v>
      </c>
      <c r="Y28" s="8">
        <f t="shared" si="5"/>
        <v>-184.38793132739045</v>
      </c>
      <c r="Z28" s="8">
        <f t="shared" si="6"/>
        <v>-184.89404863268587</v>
      </c>
    </row>
    <row r="29" spans="1:26" ht="75" customHeight="1" x14ac:dyDescent="0.2">
      <c r="A29" s="5" t="s">
        <v>141</v>
      </c>
      <c r="B29" s="6" t="s">
        <v>142</v>
      </c>
      <c r="C29" s="6" t="s">
        <v>143</v>
      </c>
      <c r="D29" s="6" t="s">
        <v>144</v>
      </c>
      <c r="E29" s="6">
        <v>2023</v>
      </c>
      <c r="F29" s="6" t="s">
        <v>104</v>
      </c>
      <c r="G29" s="6" t="s">
        <v>41</v>
      </c>
      <c r="H29" s="6" t="s">
        <v>32</v>
      </c>
      <c r="I29" s="6" t="s">
        <v>32</v>
      </c>
      <c r="J29" s="6" t="s">
        <v>63</v>
      </c>
      <c r="K29" s="6" t="s">
        <v>34</v>
      </c>
      <c r="L29" s="6">
        <v>4.3999999999999997E-2</v>
      </c>
      <c r="M29" s="6">
        <v>0.26400000000000001</v>
      </c>
      <c r="N29" s="6" t="s">
        <v>47</v>
      </c>
      <c r="O29" s="6">
        <v>56.7</v>
      </c>
      <c r="P29" s="6" t="s">
        <v>71</v>
      </c>
      <c r="Q29" s="6">
        <v>13.28</v>
      </c>
      <c r="R29" s="6">
        <v>9</v>
      </c>
      <c r="S29" s="6" t="s">
        <v>32</v>
      </c>
      <c r="T29" s="6">
        <v>-19.46</v>
      </c>
      <c r="U29" s="7" t="e">
        <f>10^(T29/10)/S29</f>
        <v>#VALUE!</v>
      </c>
      <c r="V29" s="6">
        <v>10</v>
      </c>
      <c r="W29" s="6">
        <v>-103.6</v>
      </c>
      <c r="X29" s="6">
        <f t="shared" si="1"/>
        <v>-103.6</v>
      </c>
      <c r="Y29" s="8">
        <f t="shared" si="5"/>
        <v>-169.12923608346489</v>
      </c>
      <c r="Z29" s="8">
        <f t="shared" si="6"/>
        <v>-171.59319758410487</v>
      </c>
    </row>
    <row r="30" spans="1:26" ht="75" customHeight="1" x14ac:dyDescent="0.2">
      <c r="A30" s="5" t="s">
        <v>145</v>
      </c>
      <c r="B30" s="6" t="s">
        <v>146</v>
      </c>
      <c r="C30" s="6" t="s">
        <v>147</v>
      </c>
      <c r="D30" s="6" t="s">
        <v>148</v>
      </c>
      <c r="E30" s="6">
        <v>2023</v>
      </c>
      <c r="F30" s="6" t="s">
        <v>40</v>
      </c>
      <c r="G30" s="6" t="s">
        <v>41</v>
      </c>
      <c r="H30" s="6" t="s">
        <v>32</v>
      </c>
      <c r="I30" s="6" t="s">
        <v>32</v>
      </c>
      <c r="J30" s="6" t="s">
        <v>63</v>
      </c>
      <c r="K30" s="6" t="s">
        <v>42</v>
      </c>
      <c r="L30" s="6">
        <v>3.2000000000000001E-2</v>
      </c>
      <c r="M30" s="6">
        <v>0.28999999999999998</v>
      </c>
      <c r="N30" s="6" t="s">
        <v>47</v>
      </c>
      <c r="O30" s="6">
        <f>(60.4+52.4)/2</f>
        <v>56.4</v>
      </c>
      <c r="P30" s="6" t="s">
        <v>71</v>
      </c>
      <c r="Q30" s="6">
        <v>14.2</v>
      </c>
      <c r="R30" s="6">
        <v>24</v>
      </c>
      <c r="S30" s="6" t="s">
        <v>32</v>
      </c>
      <c r="T30" s="6" t="s">
        <v>32</v>
      </c>
      <c r="U30" s="6" t="s">
        <v>32</v>
      </c>
      <c r="V30" s="6">
        <v>1</v>
      </c>
      <c r="W30" s="6">
        <v>-104.7</v>
      </c>
      <c r="X30" s="6">
        <f t="shared" si="1"/>
        <v>-124.7</v>
      </c>
      <c r="Y30" s="8">
        <f t="shared" si="5"/>
        <v>-185.92346966255079</v>
      </c>
      <c r="Z30" s="8">
        <f t="shared" si="6"/>
        <v>-188.96923655021192</v>
      </c>
    </row>
    <row r="31" spans="1:26" ht="75" customHeight="1" x14ac:dyDescent="0.2">
      <c r="A31" s="5" t="s">
        <v>149</v>
      </c>
      <c r="B31" s="6" t="s">
        <v>150</v>
      </c>
      <c r="C31" s="6" t="s">
        <v>151</v>
      </c>
      <c r="D31" s="6" t="s">
        <v>152</v>
      </c>
      <c r="E31" s="6">
        <v>2023</v>
      </c>
      <c r="F31" s="6" t="s">
        <v>30</v>
      </c>
      <c r="G31" s="6" t="s">
        <v>31</v>
      </c>
      <c r="H31" s="6">
        <v>250</v>
      </c>
      <c r="I31" s="6">
        <v>340</v>
      </c>
      <c r="J31" s="6" t="s">
        <v>63</v>
      </c>
      <c r="K31" s="6" t="s">
        <v>34</v>
      </c>
      <c r="L31" s="6">
        <f>0.37*0.15</f>
        <v>5.5500000000000001E-2</v>
      </c>
      <c r="M31" s="1">
        <f>1.32*0.88</f>
        <v>1.1616</v>
      </c>
      <c r="N31" s="6" t="s">
        <v>35</v>
      </c>
      <c r="O31" s="6">
        <f>(64.3+47)/2</f>
        <v>55.65</v>
      </c>
      <c r="P31" s="6" t="s">
        <v>71</v>
      </c>
      <c r="Q31" s="9">
        <v>31.2</v>
      </c>
      <c r="R31" s="6">
        <v>58</v>
      </c>
      <c r="S31" s="6">
        <v>58</v>
      </c>
      <c r="T31" s="6">
        <v>0</v>
      </c>
      <c r="U31" s="7">
        <f>10^(T31/10)/S31</f>
        <v>1.7241379310344827E-2</v>
      </c>
      <c r="V31" s="6">
        <v>10</v>
      </c>
      <c r="W31" s="6">
        <v>-127.5</v>
      </c>
      <c r="X31" s="6">
        <f t="shared" si="1"/>
        <v>-127.5</v>
      </c>
      <c r="Y31" s="8">
        <f t="shared" si="5"/>
        <v>-184.77502343778519</v>
      </c>
      <c r="Z31" s="8">
        <f t="shared" si="6"/>
        <v>-194.65811531815405</v>
      </c>
    </row>
    <row r="32" spans="1:26" ht="75" customHeight="1" x14ac:dyDescent="0.2">
      <c r="A32" s="5" t="s">
        <v>153</v>
      </c>
      <c r="B32" s="6" t="s">
        <v>154</v>
      </c>
      <c r="C32" s="6" t="s">
        <v>155</v>
      </c>
      <c r="D32" s="6" t="s">
        <v>144</v>
      </c>
      <c r="E32" s="6">
        <v>2023</v>
      </c>
      <c r="F32" s="6" t="s">
        <v>40</v>
      </c>
      <c r="G32" s="6" t="s">
        <v>41</v>
      </c>
      <c r="H32" s="6" t="s">
        <v>32</v>
      </c>
      <c r="I32" s="6" t="s">
        <v>32</v>
      </c>
      <c r="J32" s="6" t="s">
        <v>63</v>
      </c>
      <c r="K32" s="6" t="s">
        <v>34</v>
      </c>
      <c r="L32" s="6">
        <v>0.11</v>
      </c>
      <c r="M32" s="1" t="s">
        <v>32</v>
      </c>
      <c r="N32" s="6" t="s">
        <v>47</v>
      </c>
      <c r="O32" s="6">
        <v>28.11</v>
      </c>
      <c r="P32" s="6" t="s">
        <v>71</v>
      </c>
      <c r="Q32" s="6">
        <v>11.92</v>
      </c>
      <c r="R32" s="6">
        <v>7.2</v>
      </c>
      <c r="S32" s="6" t="s">
        <v>32</v>
      </c>
      <c r="T32" s="6">
        <v>-9.83</v>
      </c>
      <c r="U32" s="6" t="s">
        <v>32</v>
      </c>
      <c r="V32" s="6">
        <v>1</v>
      </c>
      <c r="W32" s="6">
        <v>-107.2</v>
      </c>
      <c r="X32" s="6">
        <f t="shared" si="1"/>
        <v>-127.2</v>
      </c>
      <c r="Y32" s="8">
        <f t="shared" si="5"/>
        <v>-187.60389194783613</v>
      </c>
      <c r="Z32" s="8">
        <f t="shared" si="6"/>
        <v>-189.1294170559205</v>
      </c>
    </row>
    <row r="33" spans="1:26" ht="75" customHeight="1" x14ac:dyDescent="0.2">
      <c r="A33" s="5" t="s">
        <v>156</v>
      </c>
      <c r="B33" s="6" t="s">
        <v>157</v>
      </c>
      <c r="C33" s="6" t="s">
        <v>158</v>
      </c>
      <c r="D33" s="6" t="s">
        <v>130</v>
      </c>
      <c r="E33" s="6">
        <v>2022</v>
      </c>
      <c r="F33" s="6" t="s">
        <v>40</v>
      </c>
      <c r="G33" s="6" t="s">
        <v>41</v>
      </c>
      <c r="H33" s="6">
        <v>160</v>
      </c>
      <c r="I33" s="6">
        <v>200</v>
      </c>
      <c r="J33" s="6" t="s">
        <v>33</v>
      </c>
      <c r="K33" s="6" t="s">
        <v>42</v>
      </c>
      <c r="L33" s="6">
        <v>0.15</v>
      </c>
      <c r="M33" s="6">
        <v>0.3</v>
      </c>
      <c r="N33" s="6" t="s">
        <v>35</v>
      </c>
      <c r="O33" s="6">
        <f>AVERAGE(297,305)</f>
        <v>301</v>
      </c>
      <c r="P33" s="6" t="s">
        <v>36</v>
      </c>
      <c r="Q33" s="6">
        <v>2.7</v>
      </c>
      <c r="R33" s="6">
        <v>68</v>
      </c>
      <c r="S33" s="6">
        <v>68</v>
      </c>
      <c r="T33" s="6">
        <v>2.8</v>
      </c>
      <c r="U33" s="7">
        <f t="shared" ref="U33:U39" si="7">10^(T33/10)/S33</f>
        <v>2.802148114651834E-2</v>
      </c>
      <c r="V33" s="6">
        <v>10</v>
      </c>
      <c r="W33" s="6">
        <v>-96</v>
      </c>
      <c r="X33" s="6">
        <f t="shared" si="1"/>
        <v>-96</v>
      </c>
      <c r="Y33" s="8">
        <f t="shared" si="5"/>
        <v>-167.24624078481449</v>
      </c>
      <c r="Z33" s="8">
        <f t="shared" si="6"/>
        <v>-155.87351606799425</v>
      </c>
    </row>
    <row r="34" spans="1:26" ht="75" customHeight="1" x14ac:dyDescent="0.2">
      <c r="A34" s="5" t="s">
        <v>159</v>
      </c>
      <c r="B34" s="6" t="s">
        <v>160</v>
      </c>
      <c r="C34" s="6" t="s">
        <v>161</v>
      </c>
      <c r="D34" s="6" t="s">
        <v>162</v>
      </c>
      <c r="E34" s="6">
        <v>2022</v>
      </c>
      <c r="F34" s="6" t="s">
        <v>30</v>
      </c>
      <c r="G34" s="6" t="s">
        <v>31</v>
      </c>
      <c r="H34" s="6">
        <v>250</v>
      </c>
      <c r="I34" s="6">
        <v>370</v>
      </c>
      <c r="J34" s="6" t="s">
        <v>63</v>
      </c>
      <c r="K34" s="6" t="s">
        <v>34</v>
      </c>
      <c r="L34" s="6">
        <f>0.374*0.305</f>
        <v>0.11406999999999999</v>
      </c>
      <c r="M34" s="6">
        <v>0.22</v>
      </c>
      <c r="N34" s="6" t="s">
        <v>47</v>
      </c>
      <c r="O34" s="6">
        <v>90.5</v>
      </c>
      <c r="P34" s="6" t="s">
        <v>36</v>
      </c>
      <c r="Q34" s="6">
        <v>11.6</v>
      </c>
      <c r="R34" s="6">
        <v>60</v>
      </c>
      <c r="S34" s="6">
        <v>60</v>
      </c>
      <c r="T34" s="6">
        <v>4.3</v>
      </c>
      <c r="U34" s="7">
        <f t="shared" si="7"/>
        <v>4.4858913398781931E-2</v>
      </c>
      <c r="V34" s="6">
        <v>10</v>
      </c>
      <c r="W34" s="6">
        <v>-112</v>
      </c>
      <c r="X34" s="6">
        <f t="shared" ref="X34:X65" si="8">W34+20*LOG10(V34/10)</f>
        <v>-112</v>
      </c>
      <c r="Y34" s="8">
        <f t="shared" si="5"/>
        <v>-173.35145908026763</v>
      </c>
      <c r="Z34" s="8">
        <f t="shared" si="6"/>
        <v>-174.64061886480599</v>
      </c>
    </row>
    <row r="35" spans="1:26" ht="75" customHeight="1" x14ac:dyDescent="0.2">
      <c r="A35" s="5" t="s">
        <v>163</v>
      </c>
      <c r="B35" s="6" t="s">
        <v>164</v>
      </c>
      <c r="C35" s="6" t="s">
        <v>107</v>
      </c>
      <c r="D35" s="6" t="s">
        <v>51</v>
      </c>
      <c r="E35" s="6">
        <v>2022</v>
      </c>
      <c r="F35" s="6" t="s">
        <v>40</v>
      </c>
      <c r="G35" s="6" t="s">
        <v>41</v>
      </c>
      <c r="H35" s="6" t="s">
        <v>32</v>
      </c>
      <c r="I35" s="6" t="s">
        <v>32</v>
      </c>
      <c r="J35" s="6" t="s">
        <v>33</v>
      </c>
      <c r="K35" s="6" t="s">
        <v>34</v>
      </c>
      <c r="L35" s="6">
        <v>8.7999999999999995E-2</v>
      </c>
      <c r="M35" s="6">
        <v>0.25</v>
      </c>
      <c r="N35" s="6" t="s">
        <v>47</v>
      </c>
      <c r="O35" s="6">
        <v>79</v>
      </c>
      <c r="P35" s="6" t="s">
        <v>36</v>
      </c>
      <c r="Q35" s="6">
        <v>7.2</v>
      </c>
      <c r="R35" s="6">
        <v>3.95</v>
      </c>
      <c r="S35" s="6">
        <v>3.95</v>
      </c>
      <c r="T35" s="6">
        <v>-9.3000000000000007</v>
      </c>
      <c r="U35" s="7">
        <f t="shared" si="7"/>
        <v>2.9744241897203268E-2</v>
      </c>
      <c r="V35" s="6">
        <v>10</v>
      </c>
      <c r="W35" s="6">
        <v>-119.16</v>
      </c>
      <c r="X35" s="6">
        <f t="shared" si="8"/>
        <v>-119.16</v>
      </c>
      <c r="Y35" s="8">
        <f t="shared" si="5"/>
        <v>-191.14657086954421</v>
      </c>
      <c r="Z35" s="8">
        <f t="shared" si="6"/>
        <v>-188.29322079816959</v>
      </c>
    </row>
    <row r="36" spans="1:26" ht="75" customHeight="1" x14ac:dyDescent="0.2">
      <c r="A36" s="5" t="s">
        <v>163</v>
      </c>
      <c r="B36" s="6" t="s">
        <v>164</v>
      </c>
      <c r="C36" s="6" t="s">
        <v>107</v>
      </c>
      <c r="D36" s="6" t="s">
        <v>51</v>
      </c>
      <c r="E36" s="6">
        <v>2022</v>
      </c>
      <c r="F36" s="6" t="s">
        <v>40</v>
      </c>
      <c r="G36" s="6" t="s">
        <v>41</v>
      </c>
      <c r="H36" s="6" t="s">
        <v>32</v>
      </c>
      <c r="I36" s="6" t="s">
        <v>32</v>
      </c>
      <c r="J36" s="6" t="s">
        <v>33</v>
      </c>
      <c r="K36" s="6" t="s">
        <v>34</v>
      </c>
      <c r="L36" s="6">
        <v>8.7999999999999995E-2</v>
      </c>
      <c r="M36" s="6">
        <v>0.25</v>
      </c>
      <c r="N36" s="6" t="s">
        <v>47</v>
      </c>
      <c r="O36" s="6">
        <v>79</v>
      </c>
      <c r="P36" s="6" t="s">
        <v>36</v>
      </c>
      <c r="Q36" s="6">
        <v>7.2</v>
      </c>
      <c r="R36" s="6">
        <v>102.7</v>
      </c>
      <c r="S36" s="6">
        <v>102.7</v>
      </c>
      <c r="T36" s="6">
        <v>-4</v>
      </c>
      <c r="U36" s="7">
        <f t="shared" si="7"/>
        <v>3.8764086714069834E-3</v>
      </c>
      <c r="V36" s="6">
        <v>10</v>
      </c>
      <c r="W36" s="6">
        <v>-125.4</v>
      </c>
      <c r="X36" s="6">
        <f t="shared" si="8"/>
        <v>-125.4</v>
      </c>
      <c r="Y36" s="8">
        <f t="shared" si="5"/>
        <v>-183.23683738983604</v>
      </c>
      <c r="Z36" s="8">
        <f t="shared" si="6"/>
        <v>-180.38348731846142</v>
      </c>
    </row>
    <row r="37" spans="1:26" ht="75" customHeight="1" x14ac:dyDescent="0.2">
      <c r="A37" s="5" t="s">
        <v>165</v>
      </c>
      <c r="B37" s="6" t="s">
        <v>166</v>
      </c>
      <c r="C37" s="6" t="s">
        <v>167</v>
      </c>
      <c r="D37" s="6" t="s">
        <v>168</v>
      </c>
      <c r="E37" s="6">
        <v>2022</v>
      </c>
      <c r="F37" s="6" t="s">
        <v>117</v>
      </c>
      <c r="G37" s="6" t="s">
        <v>118</v>
      </c>
      <c r="H37" s="6">
        <v>350</v>
      </c>
      <c r="I37" s="6">
        <v>370</v>
      </c>
      <c r="J37" s="6" t="s">
        <v>63</v>
      </c>
      <c r="K37" s="6" t="s">
        <v>34</v>
      </c>
      <c r="L37" s="6">
        <v>0.03</v>
      </c>
      <c r="M37" s="6">
        <v>0.3</v>
      </c>
      <c r="N37" s="6" t="s">
        <v>47</v>
      </c>
      <c r="O37" s="6">
        <v>59.4</v>
      </c>
      <c r="P37" s="6" t="s">
        <v>36</v>
      </c>
      <c r="Q37" s="6">
        <v>3.2</v>
      </c>
      <c r="R37" s="6">
        <v>10.5</v>
      </c>
      <c r="S37" s="6">
        <v>31.5</v>
      </c>
      <c r="T37" s="6">
        <v>-10.1</v>
      </c>
      <c r="U37" s="7">
        <f t="shared" si="7"/>
        <v>3.1023403839867004E-3</v>
      </c>
      <c r="V37" s="6">
        <v>10</v>
      </c>
      <c r="W37" s="6">
        <v>-112.1</v>
      </c>
      <c r="X37" s="6">
        <f t="shared" si="8"/>
        <v>-112.1</v>
      </c>
      <c r="Y37" s="8">
        <f t="shared" si="5"/>
        <v>-177.3638359089245</v>
      </c>
      <c r="Z37" s="8">
        <f t="shared" si="6"/>
        <v>-167.46683547532263</v>
      </c>
    </row>
    <row r="38" spans="1:26" ht="75" customHeight="1" x14ac:dyDescent="0.2">
      <c r="A38" s="5" t="s">
        <v>169</v>
      </c>
      <c r="B38" s="6" t="s">
        <v>170</v>
      </c>
      <c r="C38" s="6" t="s">
        <v>171</v>
      </c>
      <c r="D38" s="6" t="s">
        <v>148</v>
      </c>
      <c r="E38" s="6">
        <v>2022</v>
      </c>
      <c r="F38" s="6" t="s">
        <v>112</v>
      </c>
      <c r="G38" s="6" t="s">
        <v>41</v>
      </c>
      <c r="H38" s="6" t="s">
        <v>32</v>
      </c>
      <c r="I38" s="6" t="s">
        <v>32</v>
      </c>
      <c r="J38" s="6" t="s">
        <v>63</v>
      </c>
      <c r="K38" s="6" t="s">
        <v>42</v>
      </c>
      <c r="L38" s="6">
        <v>0.12</v>
      </c>
      <c r="M38" s="6">
        <v>0.77</v>
      </c>
      <c r="N38" s="6" t="s">
        <v>47</v>
      </c>
      <c r="O38" s="6">
        <f>(62.83+55.96)/2</f>
        <v>59.394999999999996</v>
      </c>
      <c r="P38" s="6" t="s">
        <v>71</v>
      </c>
      <c r="Q38" s="6">
        <v>13.4</v>
      </c>
      <c r="R38" s="6">
        <v>15.3</v>
      </c>
      <c r="S38" s="6" t="s">
        <v>32</v>
      </c>
      <c r="T38" s="6">
        <v>3</v>
      </c>
      <c r="U38" s="7" t="e">
        <f t="shared" si="7"/>
        <v>#VALUE!</v>
      </c>
      <c r="V38" s="6">
        <v>10</v>
      </c>
      <c r="W38" s="6">
        <v>-121.7</v>
      </c>
      <c r="X38" s="6">
        <f t="shared" si="8"/>
        <v>-121.7</v>
      </c>
      <c r="Y38" s="8">
        <f t="shared" si="5"/>
        <v>-185.32808342518302</v>
      </c>
      <c r="Z38" s="8">
        <f t="shared" si="6"/>
        <v>-187.87017939247917</v>
      </c>
    </row>
    <row r="39" spans="1:26" ht="75" customHeight="1" x14ac:dyDescent="0.2">
      <c r="A39" s="5" t="s">
        <v>172</v>
      </c>
      <c r="B39" s="6" t="s">
        <v>173</v>
      </c>
      <c r="C39" s="6" t="s">
        <v>174</v>
      </c>
      <c r="D39" s="6" t="s">
        <v>175</v>
      </c>
      <c r="E39" s="6">
        <v>2022</v>
      </c>
      <c r="F39" s="6" t="s">
        <v>30</v>
      </c>
      <c r="G39" s="6" t="s">
        <v>31</v>
      </c>
      <c r="H39" s="6" t="s">
        <v>32</v>
      </c>
      <c r="I39" s="6">
        <v>450</v>
      </c>
      <c r="J39" s="6" t="s">
        <v>63</v>
      </c>
      <c r="K39" s="6" t="s">
        <v>34</v>
      </c>
      <c r="L39" s="6">
        <v>0.14860000000000001</v>
      </c>
      <c r="M39" s="6">
        <f>0.88*1.78</f>
        <v>1.5664</v>
      </c>
      <c r="N39" s="6" t="s">
        <v>47</v>
      </c>
      <c r="O39" s="6">
        <v>58.78</v>
      </c>
      <c r="P39" s="6" t="s">
        <v>71</v>
      </c>
      <c r="Q39" s="6">
        <v>16.3</v>
      </c>
      <c r="R39" s="6">
        <v>69.59</v>
      </c>
      <c r="S39" s="6">
        <v>69.59</v>
      </c>
      <c r="T39" s="6">
        <v>5.46</v>
      </c>
      <c r="U39" s="7">
        <f t="shared" si="7"/>
        <v>5.0518815997743667E-2</v>
      </c>
      <c r="V39" s="6">
        <v>10</v>
      </c>
      <c r="W39" s="6">
        <v>-117.6</v>
      </c>
      <c r="X39" s="6">
        <f t="shared" si="8"/>
        <v>-117.6</v>
      </c>
      <c r="Y39" s="8">
        <f t="shared" si="5"/>
        <v>-174.55912326978174</v>
      </c>
      <c r="Z39" s="8">
        <f t="shared" si="6"/>
        <v>-178.8028753578609</v>
      </c>
    </row>
    <row r="40" spans="1:26" ht="75" customHeight="1" x14ac:dyDescent="0.2">
      <c r="A40" s="5" t="s">
        <v>176</v>
      </c>
      <c r="B40" s="6" t="s">
        <v>177</v>
      </c>
      <c r="C40" s="6" t="s">
        <v>178</v>
      </c>
      <c r="D40" s="6" t="s">
        <v>179</v>
      </c>
      <c r="E40" s="6">
        <v>2022</v>
      </c>
      <c r="F40" s="6" t="s">
        <v>180</v>
      </c>
      <c r="G40" s="6" t="s">
        <v>41</v>
      </c>
      <c r="H40" s="6" t="s">
        <v>32</v>
      </c>
      <c r="I40" s="6" t="s">
        <v>32</v>
      </c>
      <c r="J40" s="6" t="s">
        <v>63</v>
      </c>
      <c r="K40" s="6" t="s">
        <v>34</v>
      </c>
      <c r="L40" s="6">
        <v>0.03</v>
      </c>
      <c r="M40" s="9">
        <v>0.19</v>
      </c>
      <c r="N40" s="6" t="s">
        <v>47</v>
      </c>
      <c r="O40" s="6">
        <v>49</v>
      </c>
      <c r="P40" s="6" t="s">
        <v>36</v>
      </c>
      <c r="Q40" s="6">
        <v>1.24</v>
      </c>
      <c r="R40" s="6">
        <v>5.5</v>
      </c>
      <c r="S40" s="6" t="s">
        <v>32</v>
      </c>
      <c r="T40" s="6">
        <v>-19.3</v>
      </c>
      <c r="U40" s="6" t="s">
        <v>32</v>
      </c>
      <c r="V40" s="6">
        <v>10</v>
      </c>
      <c r="W40" s="6">
        <v>-122.05</v>
      </c>
      <c r="X40" s="6">
        <f t="shared" si="8"/>
        <v>-122.05</v>
      </c>
      <c r="Y40" s="8">
        <f t="shared" si="5"/>
        <v>-188.45029470562784</v>
      </c>
      <c r="Z40" s="8">
        <f t="shared" si="6"/>
        <v>-170.31872840887254</v>
      </c>
    </row>
    <row r="41" spans="1:26" ht="75" customHeight="1" x14ac:dyDescent="0.2">
      <c r="A41" s="5" t="s">
        <v>181</v>
      </c>
      <c r="B41" s="6" t="s">
        <v>182</v>
      </c>
      <c r="C41" s="6" t="s">
        <v>183</v>
      </c>
      <c r="D41" s="6" t="s">
        <v>175</v>
      </c>
      <c r="E41" s="6">
        <v>2022</v>
      </c>
      <c r="F41" s="6" t="s">
        <v>40</v>
      </c>
      <c r="G41" s="6" t="s">
        <v>41</v>
      </c>
      <c r="H41" s="6" t="s">
        <v>32</v>
      </c>
      <c r="I41" s="6" t="s">
        <v>32</v>
      </c>
      <c r="J41" s="6" t="s">
        <v>63</v>
      </c>
      <c r="K41" s="6" t="s">
        <v>34</v>
      </c>
      <c r="L41" s="6">
        <f>0.3*0.3</f>
        <v>0.09</v>
      </c>
      <c r="M41" s="6" t="s">
        <v>32</v>
      </c>
      <c r="N41" s="6" t="s">
        <v>47</v>
      </c>
      <c r="O41" s="6">
        <v>34.5</v>
      </c>
      <c r="P41" s="6" t="s">
        <v>36</v>
      </c>
      <c r="Q41" s="9">
        <f>(35.9-33.6)/O41*100</f>
        <v>6.6666666666666581</v>
      </c>
      <c r="R41" s="6">
        <v>1.7</v>
      </c>
      <c r="S41" s="6" t="s">
        <v>32</v>
      </c>
      <c r="T41" s="6" t="s">
        <v>32</v>
      </c>
      <c r="U41" s="6" t="s">
        <v>32</v>
      </c>
      <c r="V41" s="6">
        <v>1</v>
      </c>
      <c r="W41" s="6">
        <v>-98</v>
      </c>
      <c r="X41" s="6">
        <f t="shared" si="8"/>
        <v>-118</v>
      </c>
      <c r="Y41" s="8">
        <f t="shared" si="5"/>
        <v>-186.45189268768274</v>
      </c>
      <c r="Z41" s="8">
        <f t="shared" si="6"/>
        <v>-182.93006750656912</v>
      </c>
    </row>
    <row r="42" spans="1:26" ht="75" customHeight="1" x14ac:dyDescent="0.2">
      <c r="A42" s="5" t="s">
        <v>184</v>
      </c>
      <c r="B42" s="6" t="s">
        <v>185</v>
      </c>
      <c r="C42" s="6" t="s">
        <v>186</v>
      </c>
      <c r="D42" s="6" t="s">
        <v>187</v>
      </c>
      <c r="E42" s="6">
        <v>2021</v>
      </c>
      <c r="F42" s="6" t="s">
        <v>76</v>
      </c>
      <c r="G42" s="6" t="s">
        <v>41</v>
      </c>
      <c r="H42" s="6" t="s">
        <v>32</v>
      </c>
      <c r="I42" s="6" t="s">
        <v>32</v>
      </c>
      <c r="J42" s="6" t="s">
        <v>63</v>
      </c>
      <c r="K42" s="6" t="s">
        <v>34</v>
      </c>
      <c r="L42" s="6" t="s">
        <v>32</v>
      </c>
      <c r="M42" s="6">
        <v>0.25700000000000001</v>
      </c>
      <c r="N42" s="6" t="s">
        <v>47</v>
      </c>
      <c r="O42" s="6">
        <v>94</v>
      </c>
      <c r="P42" s="6" t="s">
        <v>36</v>
      </c>
      <c r="Q42" s="6">
        <v>8.6999999999999993</v>
      </c>
      <c r="R42" s="6" t="s">
        <v>188</v>
      </c>
      <c r="S42" s="6">
        <v>85.08</v>
      </c>
      <c r="T42" s="6">
        <v>5.2</v>
      </c>
      <c r="U42" s="7">
        <f>10^(T42/10)/S42</f>
        <v>3.8919971965513771E-2</v>
      </c>
      <c r="V42" s="6">
        <v>10</v>
      </c>
      <c r="W42" s="6" t="s">
        <v>189</v>
      </c>
      <c r="X42" s="6">
        <f t="shared" si="8"/>
        <v>-96.51</v>
      </c>
      <c r="Y42" s="8">
        <f t="shared" si="5"/>
        <v>-161.14953939975956</v>
      </c>
      <c r="Z42" s="8">
        <f t="shared" si="6"/>
        <v>-159.93992445213192</v>
      </c>
    </row>
    <row r="43" spans="1:26" ht="75" customHeight="1" x14ac:dyDescent="0.2">
      <c r="A43" s="5" t="s">
        <v>190</v>
      </c>
      <c r="B43" s="6" t="s">
        <v>191</v>
      </c>
      <c r="C43" s="6" t="s">
        <v>192</v>
      </c>
      <c r="D43" s="6" t="s">
        <v>187</v>
      </c>
      <c r="E43" s="6">
        <v>2021</v>
      </c>
      <c r="F43" s="6" t="s">
        <v>76</v>
      </c>
      <c r="G43" s="6" t="s">
        <v>41</v>
      </c>
      <c r="H43" s="6" t="s">
        <v>32</v>
      </c>
      <c r="I43" s="6" t="s">
        <v>32</v>
      </c>
      <c r="J43" s="6" t="s">
        <v>63</v>
      </c>
      <c r="K43" s="6" t="s">
        <v>34</v>
      </c>
      <c r="L43" s="6">
        <v>4.4999999999999998E-2</v>
      </c>
      <c r="M43" s="1">
        <v>0.31</v>
      </c>
      <c r="N43" s="6" t="s">
        <v>35</v>
      </c>
      <c r="O43" s="6">
        <v>90.1</v>
      </c>
      <c r="P43" s="6" t="s">
        <v>36</v>
      </c>
      <c r="Q43" s="9">
        <v>2.2400000000000002</v>
      </c>
      <c r="R43" s="6">
        <v>25.43</v>
      </c>
      <c r="S43" s="6">
        <v>47.55</v>
      </c>
      <c r="T43" s="6">
        <v>-0.2</v>
      </c>
      <c r="U43" s="7">
        <f>10^(T43/10)/S43</f>
        <v>2.0083966057233144E-2</v>
      </c>
      <c r="V43" s="6">
        <v>10</v>
      </c>
      <c r="W43" s="6">
        <v>-109.22</v>
      </c>
      <c r="X43" s="6">
        <f t="shared" si="8"/>
        <v>-109.22</v>
      </c>
      <c r="Y43" s="8">
        <f t="shared" si="5"/>
        <v>-174.26103221782415</v>
      </c>
      <c r="Z43" s="8">
        <f t="shared" si="6"/>
        <v>-161.26599258450742</v>
      </c>
    </row>
    <row r="44" spans="1:26" ht="75" customHeight="1" x14ac:dyDescent="0.2">
      <c r="A44" s="5" t="s">
        <v>193</v>
      </c>
      <c r="B44" s="6" t="s">
        <v>194</v>
      </c>
      <c r="C44" s="6" t="s">
        <v>195</v>
      </c>
      <c r="D44" s="6" t="s">
        <v>196</v>
      </c>
      <c r="E44" s="6">
        <v>2021</v>
      </c>
      <c r="F44" s="6" t="s">
        <v>197</v>
      </c>
      <c r="G44" s="6" t="s">
        <v>41</v>
      </c>
      <c r="H44" s="1">
        <v>300</v>
      </c>
      <c r="I44" s="1">
        <v>300</v>
      </c>
      <c r="J44" s="6" t="s">
        <v>63</v>
      </c>
      <c r="K44" s="6" t="s">
        <v>34</v>
      </c>
      <c r="L44" s="1">
        <v>1.2E-2</v>
      </c>
      <c r="M44" s="1">
        <f>0.37</f>
        <v>0.37</v>
      </c>
      <c r="N44" s="1" t="s">
        <v>47</v>
      </c>
      <c r="O44" s="6">
        <v>77.3</v>
      </c>
      <c r="P44" s="6" t="s">
        <v>36</v>
      </c>
      <c r="Q44" s="6">
        <v>3.25</v>
      </c>
      <c r="R44" s="6">
        <v>15.1</v>
      </c>
      <c r="S44" s="6">
        <f>R44+9.8</f>
        <v>24.9</v>
      </c>
      <c r="T44" s="6">
        <v>-1.1200000000000001</v>
      </c>
      <c r="U44" s="7">
        <f>10^(T44/10)/S44</f>
        <v>3.1031348799024187E-2</v>
      </c>
      <c r="V44" s="6">
        <v>10</v>
      </c>
      <c r="W44" s="6">
        <v>-115.1</v>
      </c>
      <c r="X44" s="6">
        <f t="shared" si="8"/>
        <v>-115.1</v>
      </c>
      <c r="Y44" s="8">
        <f t="shared" si="5"/>
        <v>-181.07382040543479</v>
      </c>
      <c r="Z44" s="8">
        <f t="shared" si="6"/>
        <v>-171.31148762501226</v>
      </c>
    </row>
    <row r="45" spans="1:26" ht="75" customHeight="1" x14ac:dyDescent="0.2">
      <c r="A45" s="5" t="s">
        <v>198</v>
      </c>
      <c r="B45" s="6" t="s">
        <v>199</v>
      </c>
      <c r="C45" s="6" t="s">
        <v>200</v>
      </c>
      <c r="D45" s="6" t="s">
        <v>201</v>
      </c>
      <c r="E45" s="6">
        <v>2021</v>
      </c>
      <c r="F45" s="6" t="s">
        <v>30</v>
      </c>
      <c r="G45" s="6" t="s">
        <v>31</v>
      </c>
      <c r="H45" s="6">
        <v>300</v>
      </c>
      <c r="I45" s="6">
        <v>500</v>
      </c>
      <c r="J45" s="6" t="s">
        <v>63</v>
      </c>
      <c r="K45" s="6" t="s">
        <v>34</v>
      </c>
      <c r="L45" s="6">
        <v>0.13400000000000001</v>
      </c>
      <c r="M45" s="6">
        <v>0.86</v>
      </c>
      <c r="N45" s="6" t="s">
        <v>47</v>
      </c>
      <c r="O45" s="6">
        <v>62.32</v>
      </c>
      <c r="P45" s="6" t="s">
        <v>71</v>
      </c>
      <c r="Q45" s="6">
        <v>6.07</v>
      </c>
      <c r="R45" s="6">
        <v>11.3</v>
      </c>
      <c r="S45" s="6">
        <v>11.3</v>
      </c>
      <c r="T45" s="6">
        <v>-9</v>
      </c>
      <c r="U45" s="7">
        <f>10^(T45/10)/S45</f>
        <v>1.1140932847735988E-2</v>
      </c>
      <c r="V45" s="6">
        <v>1</v>
      </c>
      <c r="W45" s="6">
        <v>-89</v>
      </c>
      <c r="X45" s="6">
        <f t="shared" si="8"/>
        <v>-109</v>
      </c>
      <c r="Y45" s="8">
        <f t="shared" si="5"/>
        <v>-174.36176445845595</v>
      </c>
      <c r="Z45" s="8">
        <f t="shared" si="6"/>
        <v>-170.0255382799611</v>
      </c>
    </row>
    <row r="46" spans="1:26" ht="75" customHeight="1" x14ac:dyDescent="0.2">
      <c r="A46" s="5" t="s">
        <v>202</v>
      </c>
      <c r="B46" s="6" t="s">
        <v>203</v>
      </c>
      <c r="C46" s="6" t="s">
        <v>204</v>
      </c>
      <c r="D46" s="6" t="s">
        <v>205</v>
      </c>
      <c r="E46" s="6">
        <v>2021</v>
      </c>
      <c r="F46" s="6" t="s">
        <v>40</v>
      </c>
      <c r="G46" s="6" t="s">
        <v>41</v>
      </c>
      <c r="H46" s="6" t="s">
        <v>32</v>
      </c>
      <c r="I46" s="6" t="s">
        <v>32</v>
      </c>
      <c r="J46" s="6" t="s">
        <v>63</v>
      </c>
      <c r="K46" s="6" t="s">
        <v>42</v>
      </c>
      <c r="L46" s="6">
        <v>3.2000000000000001E-2</v>
      </c>
      <c r="M46" s="6" t="s">
        <v>32</v>
      </c>
      <c r="N46" s="6" t="s">
        <v>47</v>
      </c>
      <c r="O46" s="6">
        <v>59.1</v>
      </c>
      <c r="P46" s="6" t="s">
        <v>71</v>
      </c>
      <c r="Q46" s="6">
        <v>14.2</v>
      </c>
      <c r="R46" s="6">
        <v>22.5</v>
      </c>
      <c r="S46" s="6" t="s">
        <v>32</v>
      </c>
      <c r="T46" s="6" t="s">
        <v>32</v>
      </c>
      <c r="U46" s="6" t="s">
        <v>32</v>
      </c>
      <c r="V46" s="6">
        <v>1</v>
      </c>
      <c r="W46" s="6">
        <v>-104.7</v>
      </c>
      <c r="X46" s="6">
        <f t="shared" si="8"/>
        <v>-124.7</v>
      </c>
      <c r="Y46" s="8">
        <f t="shared" si="5"/>
        <v>-186.60992443651148</v>
      </c>
      <c r="Z46" s="8">
        <f t="shared" si="6"/>
        <v>-189.65569132417261</v>
      </c>
    </row>
    <row r="47" spans="1:26" ht="75" customHeight="1" x14ac:dyDescent="0.2">
      <c r="A47" s="5" t="s">
        <v>206</v>
      </c>
      <c r="B47" s="6" t="s">
        <v>207</v>
      </c>
      <c r="C47" s="6" t="s">
        <v>208</v>
      </c>
      <c r="D47" s="6" t="s">
        <v>209</v>
      </c>
      <c r="E47" s="6">
        <v>2021</v>
      </c>
      <c r="F47" s="6" t="s">
        <v>30</v>
      </c>
      <c r="G47" s="6" t="s">
        <v>31</v>
      </c>
      <c r="H47" s="6" t="s">
        <v>32</v>
      </c>
      <c r="I47" s="6" t="s">
        <v>32</v>
      </c>
      <c r="J47" s="6" t="s">
        <v>63</v>
      </c>
      <c r="K47" s="6" t="s">
        <v>34</v>
      </c>
      <c r="L47" s="6">
        <v>2.5999999999999999E-2</v>
      </c>
      <c r="M47" s="6">
        <v>0.41</v>
      </c>
      <c r="N47" s="6" t="s">
        <v>47</v>
      </c>
      <c r="O47" s="6">
        <f>(28.5+35)/2</f>
        <v>31.75</v>
      </c>
      <c r="P47" s="6" t="s">
        <v>71</v>
      </c>
      <c r="Q47" s="9">
        <v>20.5</v>
      </c>
      <c r="R47" s="6">
        <v>22</v>
      </c>
      <c r="S47" s="6">
        <v>22</v>
      </c>
      <c r="T47" s="6">
        <v>6.2</v>
      </c>
      <c r="U47" s="7">
        <f>10^(T47/10)/S47</f>
        <v>0.18948608339560702</v>
      </c>
      <c r="V47" s="6">
        <v>1</v>
      </c>
      <c r="W47" s="6">
        <v>-99</v>
      </c>
      <c r="X47" s="6">
        <f t="shared" si="8"/>
        <v>-119</v>
      </c>
      <c r="Y47" s="8">
        <f t="shared" si="5"/>
        <v>-175.61064778433783</v>
      </c>
      <c r="Z47" s="8">
        <f t="shared" si="6"/>
        <v>-181.84572500545292</v>
      </c>
    </row>
    <row r="48" spans="1:26" ht="75" customHeight="1" x14ac:dyDescent="0.2">
      <c r="A48" s="6" t="s">
        <v>210</v>
      </c>
      <c r="B48" s="6" t="s">
        <v>211</v>
      </c>
      <c r="C48" s="6" t="s">
        <v>212</v>
      </c>
      <c r="D48" s="6" t="s">
        <v>100</v>
      </c>
      <c r="E48" s="6">
        <v>2020</v>
      </c>
      <c r="F48" s="6" t="s">
        <v>40</v>
      </c>
      <c r="G48" s="6" t="s">
        <v>41</v>
      </c>
      <c r="H48" s="6" t="s">
        <v>32</v>
      </c>
      <c r="I48" s="6" t="s">
        <v>32</v>
      </c>
      <c r="J48" s="6" t="s">
        <v>63</v>
      </c>
      <c r="K48" s="6" t="s">
        <v>34</v>
      </c>
      <c r="L48" s="6">
        <v>0.01</v>
      </c>
      <c r="M48" s="6">
        <v>0.105</v>
      </c>
      <c r="N48" s="6" t="s">
        <v>47</v>
      </c>
      <c r="O48" s="6">
        <v>251</v>
      </c>
      <c r="P48" s="6" t="s">
        <v>36</v>
      </c>
      <c r="Q48" s="6">
        <v>4</v>
      </c>
      <c r="R48" s="6">
        <v>27</v>
      </c>
      <c r="S48" s="6">
        <v>27</v>
      </c>
      <c r="T48" s="6">
        <v>-5.4</v>
      </c>
      <c r="U48" s="7">
        <f>10^(T48/10)/S48</f>
        <v>1.0681598159728169E-2</v>
      </c>
      <c r="V48" s="6">
        <v>10</v>
      </c>
      <c r="W48" s="6">
        <v>-98.03</v>
      </c>
      <c r="X48" s="6">
        <f t="shared" si="8"/>
        <v>-98.03</v>
      </c>
      <c r="Y48" s="8">
        <f t="shared" si="5"/>
        <v>-171.70983678803088</v>
      </c>
      <c r="Z48" s="8">
        <f t="shared" si="6"/>
        <v>-163.75103661459013</v>
      </c>
    </row>
    <row r="49" spans="1:26" ht="75" customHeight="1" x14ac:dyDescent="0.2">
      <c r="A49" s="5" t="s">
        <v>213</v>
      </c>
      <c r="B49" s="6" t="s">
        <v>214</v>
      </c>
      <c r="C49" s="6" t="s">
        <v>215</v>
      </c>
      <c r="D49" s="6" t="s">
        <v>122</v>
      </c>
      <c r="E49" s="6">
        <v>2020</v>
      </c>
      <c r="F49" s="6" t="s">
        <v>40</v>
      </c>
      <c r="G49" s="6" t="s">
        <v>41</v>
      </c>
      <c r="H49" s="6" t="s">
        <v>32</v>
      </c>
      <c r="I49" s="6" t="s">
        <v>32</v>
      </c>
      <c r="J49" s="6" t="s">
        <v>33</v>
      </c>
      <c r="K49" s="6" t="s">
        <v>42</v>
      </c>
      <c r="L49" s="6">
        <v>0.17599999999999999</v>
      </c>
      <c r="M49" s="6">
        <v>0.21</v>
      </c>
      <c r="N49" s="6" t="s">
        <v>35</v>
      </c>
      <c r="O49" s="6">
        <v>229</v>
      </c>
      <c r="P49" s="6" t="s">
        <v>36</v>
      </c>
      <c r="Q49" s="6">
        <v>8.35</v>
      </c>
      <c r="R49" s="6">
        <v>195</v>
      </c>
      <c r="S49" s="6">
        <v>195</v>
      </c>
      <c r="T49" s="6">
        <v>3.4</v>
      </c>
      <c r="U49" s="7">
        <f>10^(T49/10)/S49</f>
        <v>1.1219290379228475E-2</v>
      </c>
      <c r="V49" s="6">
        <v>10</v>
      </c>
      <c r="W49" s="6">
        <v>-105.8</v>
      </c>
      <c r="X49" s="6">
        <f t="shared" si="8"/>
        <v>-105.8</v>
      </c>
      <c r="Y49" s="8">
        <f t="shared" si="5"/>
        <v>-170.09636353317259</v>
      </c>
      <c r="Z49" s="8">
        <f t="shared" si="6"/>
        <v>-168.53009304284464</v>
      </c>
    </row>
    <row r="50" spans="1:26" ht="75" customHeight="1" x14ac:dyDescent="0.2">
      <c r="A50" s="6" t="s">
        <v>216</v>
      </c>
      <c r="B50" s="6" t="s">
        <v>217</v>
      </c>
      <c r="C50" s="6" t="s">
        <v>218</v>
      </c>
      <c r="D50" s="6" t="s">
        <v>219</v>
      </c>
      <c r="E50" s="6">
        <v>2020</v>
      </c>
      <c r="F50" s="6" t="s">
        <v>30</v>
      </c>
      <c r="G50" s="6" t="s">
        <v>31</v>
      </c>
      <c r="H50" s="6" t="s">
        <v>32</v>
      </c>
      <c r="I50" s="6">
        <v>450</v>
      </c>
      <c r="J50" s="6" t="s">
        <v>33</v>
      </c>
      <c r="K50" s="6" t="s">
        <v>34</v>
      </c>
      <c r="L50" s="6">
        <f>0.21*0.36</f>
        <v>7.5600000000000001E-2</v>
      </c>
      <c r="M50" s="6">
        <f>0.65*0.51</f>
        <v>0.33150000000000002</v>
      </c>
      <c r="N50" s="6" t="s">
        <v>47</v>
      </c>
      <c r="O50" s="6">
        <v>160</v>
      </c>
      <c r="P50" s="6" t="s">
        <v>36</v>
      </c>
      <c r="Q50" s="6">
        <v>3.2</v>
      </c>
      <c r="R50" s="6">
        <v>19</v>
      </c>
      <c r="S50" s="6">
        <v>19</v>
      </c>
      <c r="T50" s="6">
        <v>3.53</v>
      </c>
      <c r="U50" s="7">
        <f>10^(T50/10)/S50</f>
        <v>0.11864416906065418</v>
      </c>
      <c r="V50" s="6">
        <v>10</v>
      </c>
      <c r="W50" s="6">
        <v>-107.5</v>
      </c>
      <c r="X50" s="6">
        <f t="shared" si="8"/>
        <v>-107.5</v>
      </c>
      <c r="Y50" s="8">
        <f t="shared" si="5"/>
        <v>-178.79486364359022</v>
      </c>
      <c r="Z50" s="8">
        <f t="shared" si="6"/>
        <v>-168.89786320998834</v>
      </c>
    </row>
    <row r="51" spans="1:26" ht="75" customHeight="1" x14ac:dyDescent="0.2">
      <c r="A51" s="5" t="s">
        <v>220</v>
      </c>
      <c r="B51" s="6" t="s">
        <v>221</v>
      </c>
      <c r="C51" s="6" t="s">
        <v>222</v>
      </c>
      <c r="D51" s="6" t="s">
        <v>196</v>
      </c>
      <c r="E51" s="6">
        <v>2020</v>
      </c>
      <c r="F51" s="6" t="s">
        <v>197</v>
      </c>
      <c r="G51" s="6" t="s">
        <v>41</v>
      </c>
      <c r="H51" s="1">
        <v>300</v>
      </c>
      <c r="I51" s="1">
        <v>300</v>
      </c>
      <c r="J51" s="6" t="s">
        <v>63</v>
      </c>
      <c r="K51" s="6" t="s">
        <v>34</v>
      </c>
      <c r="L51" s="1">
        <v>2.1999999999999999E-2</v>
      </c>
      <c r="M51" s="1">
        <v>0.4</v>
      </c>
      <c r="N51" s="1" t="s">
        <v>47</v>
      </c>
      <c r="O51" s="6">
        <v>77.099999999999994</v>
      </c>
      <c r="P51" s="6" t="s">
        <v>36</v>
      </c>
      <c r="Q51" s="6">
        <v>4.79</v>
      </c>
      <c r="R51" s="6">
        <v>5.69</v>
      </c>
      <c r="S51" s="6">
        <f>R51+9.2</f>
        <v>14.89</v>
      </c>
      <c r="T51" s="6">
        <v>-4.5</v>
      </c>
      <c r="U51" s="7">
        <f>10^(T51/10)/S51</f>
        <v>2.3828971741677328E-2</v>
      </c>
      <c r="V51" s="6">
        <v>10</v>
      </c>
      <c r="W51" s="6">
        <v>-115</v>
      </c>
      <c r="X51" s="6">
        <f t="shared" si="8"/>
        <v>-115</v>
      </c>
      <c r="Y51" s="8">
        <f t="shared" si="5"/>
        <v>-185.18996489706842</v>
      </c>
      <c r="Z51" s="8">
        <f t="shared" si="6"/>
        <v>-178.79667516535969</v>
      </c>
    </row>
    <row r="52" spans="1:26" ht="75" customHeight="1" x14ac:dyDescent="0.2">
      <c r="A52" s="5" t="s">
        <v>223</v>
      </c>
      <c r="B52" s="6" t="s">
        <v>224</v>
      </c>
      <c r="C52" s="6" t="s">
        <v>225</v>
      </c>
      <c r="D52" s="6" t="s">
        <v>93</v>
      </c>
      <c r="E52" s="6">
        <v>2020</v>
      </c>
      <c r="F52" s="6" t="s">
        <v>40</v>
      </c>
      <c r="G52" s="6" t="s">
        <v>41</v>
      </c>
      <c r="H52" s="6" t="s">
        <v>32</v>
      </c>
      <c r="I52" s="6" t="s">
        <v>32</v>
      </c>
      <c r="J52" s="6" t="s">
        <v>63</v>
      </c>
      <c r="K52" s="6" t="s">
        <v>34</v>
      </c>
      <c r="L52" s="6">
        <v>2.9929999999999998E-2</v>
      </c>
      <c r="M52" s="6">
        <v>0.3</v>
      </c>
      <c r="N52" s="6" t="s">
        <v>47</v>
      </c>
      <c r="O52" s="6">
        <f>(71.37+81.6)/2</f>
        <v>76.484999999999999</v>
      </c>
      <c r="P52" s="6" t="s">
        <v>36</v>
      </c>
      <c r="Q52" s="10">
        <f>ABS(71.37-81.6)/O52*100</f>
        <v>13.375171602274943</v>
      </c>
      <c r="R52" s="6">
        <v>10.199999999999999</v>
      </c>
      <c r="S52" s="6" t="s">
        <v>32</v>
      </c>
      <c r="T52" s="6">
        <v>-26.45</v>
      </c>
      <c r="U52" s="6" t="s">
        <v>32</v>
      </c>
      <c r="V52" s="6">
        <v>10</v>
      </c>
      <c r="W52" s="6">
        <v>-114.63</v>
      </c>
      <c r="X52" s="6">
        <f t="shared" si="8"/>
        <v>-114.63</v>
      </c>
      <c r="Y52" s="8">
        <f t="shared" ref="Y52:Y77" si="9">W52-20*LOG10(O52*1000000000/(V52*1000000))+10*LOG10(R52)</f>
        <v>-182.21552370284391</v>
      </c>
      <c r="Z52" s="8">
        <f t="shared" ref="Z52:Z77" si="10">W52-20*LOG10(O52*1000000000/(V52*1000000))+10*LOG10(R52)-20*LOG(Q52/10)</f>
        <v>-184.74151095662401</v>
      </c>
    </row>
    <row r="53" spans="1:26" ht="75" customHeight="1" x14ac:dyDescent="0.2">
      <c r="A53" s="5" t="s">
        <v>223</v>
      </c>
      <c r="B53" s="6" t="s">
        <v>224</v>
      </c>
      <c r="C53" s="6" t="s">
        <v>225</v>
      </c>
      <c r="D53" s="6" t="s">
        <v>93</v>
      </c>
      <c r="E53" s="6">
        <v>2020</v>
      </c>
      <c r="F53" s="6" t="s">
        <v>40</v>
      </c>
      <c r="G53" s="6" t="s">
        <v>41</v>
      </c>
      <c r="H53" s="6" t="s">
        <v>32</v>
      </c>
      <c r="I53" s="6" t="s">
        <v>32</v>
      </c>
      <c r="J53" s="6" t="s">
        <v>63</v>
      </c>
      <c r="K53" s="6" t="s">
        <v>34</v>
      </c>
      <c r="L53" s="6">
        <f>0.146*0.205</f>
        <v>2.9929999999999995E-2</v>
      </c>
      <c r="M53" s="6">
        <v>0.3</v>
      </c>
      <c r="N53" s="6" t="s">
        <v>47</v>
      </c>
      <c r="O53" s="6">
        <v>73.239999999999995</v>
      </c>
      <c r="P53" s="6" t="s">
        <v>71</v>
      </c>
      <c r="Q53" s="6">
        <v>22.8</v>
      </c>
      <c r="R53" s="6">
        <v>10.199999999999999</v>
      </c>
      <c r="S53" s="6" t="s">
        <v>32</v>
      </c>
      <c r="T53" s="6">
        <v>-26.45</v>
      </c>
      <c r="U53" s="6" t="s">
        <v>32</v>
      </c>
      <c r="V53" s="6">
        <v>10</v>
      </c>
      <c r="W53" s="6">
        <v>-114.63</v>
      </c>
      <c r="X53" s="6">
        <f t="shared" si="8"/>
        <v>-114.63</v>
      </c>
      <c r="Y53" s="8">
        <f t="shared" si="9"/>
        <v>-181.83896499497399</v>
      </c>
      <c r="Z53" s="8">
        <f t="shared" si="10"/>
        <v>-188.99766193498306</v>
      </c>
    </row>
    <row r="54" spans="1:26" ht="75" customHeight="1" x14ac:dyDescent="0.2">
      <c r="A54" s="5" t="s">
        <v>226</v>
      </c>
      <c r="B54" s="6" t="s">
        <v>227</v>
      </c>
      <c r="C54" s="6" t="s">
        <v>228</v>
      </c>
      <c r="D54" s="6" t="s">
        <v>229</v>
      </c>
      <c r="E54" s="6">
        <v>2020</v>
      </c>
      <c r="F54" s="6" t="s">
        <v>104</v>
      </c>
      <c r="G54" s="6" t="s">
        <v>41</v>
      </c>
      <c r="H54" s="6" t="s">
        <v>32</v>
      </c>
      <c r="I54" s="6" t="s">
        <v>32</v>
      </c>
      <c r="J54" s="6" t="s">
        <v>63</v>
      </c>
      <c r="K54" s="6" t="s">
        <v>34</v>
      </c>
      <c r="L54" s="6" t="s">
        <v>32</v>
      </c>
      <c r="M54" s="1">
        <v>0.24</v>
      </c>
      <c r="N54" s="6" t="s">
        <v>47</v>
      </c>
      <c r="O54" s="6">
        <v>41.8</v>
      </c>
      <c r="P54" s="6" t="s">
        <v>36</v>
      </c>
      <c r="Q54" s="9">
        <f>(42.1-41.5)/O54*100</f>
        <v>1.4354066985645968</v>
      </c>
      <c r="R54" s="6">
        <v>13</v>
      </c>
      <c r="S54" s="6" t="s">
        <v>32</v>
      </c>
      <c r="T54" s="6">
        <v>-0.11</v>
      </c>
      <c r="U54" s="6" t="s">
        <v>32</v>
      </c>
      <c r="V54" s="6">
        <v>1</v>
      </c>
      <c r="W54" s="6">
        <v>-101.3</v>
      </c>
      <c r="X54" s="6">
        <f t="shared" si="8"/>
        <v>-121.3</v>
      </c>
      <c r="Y54" s="8">
        <f t="shared" si="9"/>
        <v>-182.58409211243236</v>
      </c>
      <c r="Z54" s="8">
        <f t="shared" si="10"/>
        <v>-165.72359148460455</v>
      </c>
    </row>
    <row r="55" spans="1:26" ht="75" customHeight="1" x14ac:dyDescent="0.2">
      <c r="A55" s="6" t="s">
        <v>230</v>
      </c>
      <c r="B55" s="6" t="s">
        <v>231</v>
      </c>
      <c r="C55" s="6" t="s">
        <v>232</v>
      </c>
      <c r="D55" s="6" t="s">
        <v>233</v>
      </c>
      <c r="E55" s="6">
        <v>2019</v>
      </c>
      <c r="F55" s="6" t="s">
        <v>40</v>
      </c>
      <c r="G55" s="6" t="s">
        <v>41</v>
      </c>
      <c r="H55" s="6" t="s">
        <v>32</v>
      </c>
      <c r="I55" s="6" t="s">
        <v>32</v>
      </c>
      <c r="J55" s="6" t="s">
        <v>33</v>
      </c>
      <c r="K55" s="6" t="s">
        <v>34</v>
      </c>
      <c r="L55" s="6">
        <v>0.01</v>
      </c>
      <c r="M55" s="6">
        <v>6.5000000000000002E-2</v>
      </c>
      <c r="N55" s="6" t="s">
        <v>47</v>
      </c>
      <c r="O55" s="6">
        <v>310</v>
      </c>
      <c r="P55" s="6" t="s">
        <v>36</v>
      </c>
      <c r="Q55" s="6">
        <v>0</v>
      </c>
      <c r="R55" s="6">
        <v>12.5</v>
      </c>
      <c r="S55" s="6">
        <v>12.5</v>
      </c>
      <c r="T55" s="6">
        <v>-4</v>
      </c>
      <c r="U55" s="7">
        <f t="shared" ref="U55:U67" si="11">10^(T55/10)/S55</f>
        <v>3.1848573644279773E-2</v>
      </c>
      <c r="V55" s="6">
        <v>10</v>
      </c>
      <c r="W55" s="6">
        <v>-95</v>
      </c>
      <c r="X55" s="6">
        <f t="shared" si="8"/>
        <v>-95</v>
      </c>
      <c r="Y55" s="8">
        <f t="shared" si="9"/>
        <v>-173.85813374660489</v>
      </c>
      <c r="Z55" s="8" t="e">
        <f t="shared" si="10"/>
        <v>#NUM!</v>
      </c>
    </row>
    <row r="56" spans="1:26" ht="75" customHeight="1" x14ac:dyDescent="0.2">
      <c r="A56" s="6" t="s">
        <v>234</v>
      </c>
      <c r="B56" s="6" t="s">
        <v>235</v>
      </c>
      <c r="C56" s="6" t="s">
        <v>236</v>
      </c>
      <c r="D56" s="6" t="s">
        <v>237</v>
      </c>
      <c r="E56" s="6">
        <v>2019</v>
      </c>
      <c r="F56" s="6" t="s">
        <v>40</v>
      </c>
      <c r="G56" s="6" t="s">
        <v>41</v>
      </c>
      <c r="H56" s="6" t="s">
        <v>32</v>
      </c>
      <c r="I56" s="6" t="s">
        <v>32</v>
      </c>
      <c r="J56" s="6" t="s">
        <v>33</v>
      </c>
      <c r="K56" s="6" t="s">
        <v>34</v>
      </c>
      <c r="L56" s="6">
        <v>7.0000000000000001E-3</v>
      </c>
      <c r="M56" s="6">
        <f>0.37*0.28</f>
        <v>0.10360000000000001</v>
      </c>
      <c r="N56" s="6" t="s">
        <v>47</v>
      </c>
      <c r="O56" s="6">
        <v>212.2</v>
      </c>
      <c r="P56" s="6" t="s">
        <v>36</v>
      </c>
      <c r="Q56" s="6">
        <v>1.6</v>
      </c>
      <c r="R56" s="6">
        <v>22.74</v>
      </c>
      <c r="S56" s="6">
        <v>22.74</v>
      </c>
      <c r="T56" s="6">
        <f>-2.21+3</f>
        <v>0.79</v>
      </c>
      <c r="U56" s="7">
        <f t="shared" si="11"/>
        <v>5.2748430217650785E-2</v>
      </c>
      <c r="V56" s="6">
        <v>10</v>
      </c>
      <c r="W56" s="6">
        <v>-113.9</v>
      </c>
      <c r="X56" s="6">
        <f t="shared" si="8"/>
        <v>-113.9</v>
      </c>
      <c r="Y56" s="8">
        <f t="shared" si="9"/>
        <v>-186.86700298778931</v>
      </c>
      <c r="Z56" s="8">
        <f t="shared" si="10"/>
        <v>-170.94940264090781</v>
      </c>
    </row>
    <row r="57" spans="1:26" ht="75" customHeight="1" x14ac:dyDescent="0.2">
      <c r="A57" s="5" t="s">
        <v>238</v>
      </c>
      <c r="B57" s="6" t="s">
        <v>239</v>
      </c>
      <c r="C57" s="6" t="s">
        <v>240</v>
      </c>
      <c r="D57" s="6" t="s">
        <v>51</v>
      </c>
      <c r="E57" s="6">
        <v>2019</v>
      </c>
      <c r="F57" s="6" t="s">
        <v>40</v>
      </c>
      <c r="G57" s="6" t="s">
        <v>41</v>
      </c>
      <c r="H57" s="6" t="s">
        <v>32</v>
      </c>
      <c r="I57" s="6" t="s">
        <v>32</v>
      </c>
      <c r="J57" s="6" t="s">
        <v>33</v>
      </c>
      <c r="K57" s="6" t="s">
        <v>34</v>
      </c>
      <c r="L57" s="6">
        <v>3.3000000000000002E-2</v>
      </c>
      <c r="M57" s="6">
        <f>0.45*0.54</f>
        <v>0.24300000000000002</v>
      </c>
      <c r="N57" s="1" t="s">
        <v>47</v>
      </c>
      <c r="O57" s="6">
        <v>85.75</v>
      </c>
      <c r="P57" s="6" t="s">
        <v>36</v>
      </c>
      <c r="Q57" s="6">
        <v>8.3000000000000007</v>
      </c>
      <c r="R57" s="6">
        <v>8.5</v>
      </c>
      <c r="S57" s="6">
        <f>R57</f>
        <v>8.5</v>
      </c>
      <c r="T57" s="6">
        <v>1</v>
      </c>
      <c r="U57" s="7">
        <f t="shared" si="11"/>
        <v>0.14810887197578437</v>
      </c>
      <c r="V57" s="6">
        <v>10</v>
      </c>
      <c r="W57" s="6">
        <v>-111.6</v>
      </c>
      <c r="X57" s="6">
        <f t="shared" si="8"/>
        <v>-111.6</v>
      </c>
      <c r="Y57" s="8">
        <f t="shared" si="9"/>
        <v>-180.97049331715323</v>
      </c>
      <c r="Z57" s="8">
        <f t="shared" si="10"/>
        <v>-179.35205516467471</v>
      </c>
    </row>
    <row r="58" spans="1:26" ht="75" customHeight="1" x14ac:dyDescent="0.2">
      <c r="A58" s="5" t="s">
        <v>241</v>
      </c>
      <c r="B58" s="6" t="s">
        <v>242</v>
      </c>
      <c r="C58" s="6" t="s">
        <v>243</v>
      </c>
      <c r="D58" s="6" t="s">
        <v>244</v>
      </c>
      <c r="E58" s="6">
        <v>2019</v>
      </c>
      <c r="F58" s="6" t="s">
        <v>245</v>
      </c>
      <c r="G58" s="6" t="s">
        <v>118</v>
      </c>
      <c r="H58" s="6">
        <v>290</v>
      </c>
      <c r="I58" s="6">
        <v>410</v>
      </c>
      <c r="J58" s="6" t="s">
        <v>63</v>
      </c>
      <c r="K58" s="6" t="s">
        <v>34</v>
      </c>
      <c r="L58" s="6">
        <v>0.06</v>
      </c>
      <c r="M58" s="9">
        <f>0.72*0.84</f>
        <v>0.6048</v>
      </c>
      <c r="N58" s="6" t="s">
        <v>47</v>
      </c>
      <c r="O58" s="6">
        <v>83.4</v>
      </c>
      <c r="P58" s="6" t="s">
        <v>36</v>
      </c>
      <c r="Q58" s="6">
        <v>9.6999999999999993</v>
      </c>
      <c r="R58" s="6">
        <v>5.7</v>
      </c>
      <c r="S58" s="6">
        <v>8.3000000000000007</v>
      </c>
      <c r="T58" s="6">
        <v>-6.6</v>
      </c>
      <c r="U58" s="7">
        <f t="shared" si="11"/>
        <v>2.6358573782524732E-2</v>
      </c>
      <c r="V58" s="6">
        <v>1</v>
      </c>
      <c r="W58" s="6">
        <v>-91.2</v>
      </c>
      <c r="X58" s="6">
        <f t="shared" si="8"/>
        <v>-111.2</v>
      </c>
      <c r="Y58" s="8">
        <f t="shared" si="9"/>
        <v>-182.06457245602988</v>
      </c>
      <c r="Z58" s="8">
        <f t="shared" si="10"/>
        <v>-181.80000714135477</v>
      </c>
    </row>
    <row r="59" spans="1:26" ht="75" customHeight="1" x14ac:dyDescent="0.2">
      <c r="A59" s="5" t="s">
        <v>246</v>
      </c>
      <c r="B59" s="6" t="s">
        <v>247</v>
      </c>
      <c r="C59" s="6" t="s">
        <v>248</v>
      </c>
      <c r="D59" s="6" t="s">
        <v>162</v>
      </c>
      <c r="E59" s="6">
        <v>2019</v>
      </c>
      <c r="F59" s="6" t="s">
        <v>245</v>
      </c>
      <c r="G59" s="6" t="s">
        <v>118</v>
      </c>
      <c r="H59" s="6">
        <v>290</v>
      </c>
      <c r="I59" s="6">
        <v>410</v>
      </c>
      <c r="J59" s="6" t="s">
        <v>63</v>
      </c>
      <c r="K59" s="6" t="s">
        <v>42</v>
      </c>
      <c r="L59" s="6">
        <v>0.04</v>
      </c>
      <c r="M59" s="6">
        <v>0.09</v>
      </c>
      <c r="N59" s="6" t="s">
        <v>35</v>
      </c>
      <c r="O59" s="6">
        <v>63.1</v>
      </c>
      <c r="P59" s="6" t="s">
        <v>36</v>
      </c>
      <c r="Q59" s="6">
        <v>16</v>
      </c>
      <c r="R59" s="6">
        <v>18</v>
      </c>
      <c r="S59" s="6">
        <v>76</v>
      </c>
      <c r="T59" s="6">
        <v>-21.1</v>
      </c>
      <c r="U59" s="7">
        <f t="shared" si="11"/>
        <v>1.0213777850377512E-4</v>
      </c>
      <c r="V59" s="6">
        <v>1</v>
      </c>
      <c r="W59" s="6">
        <v>-94.4</v>
      </c>
      <c r="X59" s="6">
        <f t="shared" si="8"/>
        <v>-114.4</v>
      </c>
      <c r="Y59" s="8">
        <f t="shared" si="9"/>
        <v>-177.84786213384962</v>
      </c>
      <c r="Z59" s="8">
        <f t="shared" si="10"/>
        <v>-181.93026178696812</v>
      </c>
    </row>
    <row r="60" spans="1:26" ht="75" customHeight="1" x14ac:dyDescent="0.2">
      <c r="A60" s="5" t="s">
        <v>249</v>
      </c>
      <c r="B60" s="6" t="s">
        <v>250</v>
      </c>
      <c r="C60" s="6" t="s">
        <v>251</v>
      </c>
      <c r="D60" s="6" t="s">
        <v>85</v>
      </c>
      <c r="E60" s="6">
        <v>2019</v>
      </c>
      <c r="F60" s="6" t="s">
        <v>40</v>
      </c>
      <c r="G60" s="6" t="s">
        <v>41</v>
      </c>
      <c r="H60" s="6" t="s">
        <v>32</v>
      </c>
      <c r="I60" s="6" t="s">
        <v>32</v>
      </c>
      <c r="J60" s="6" t="s">
        <v>63</v>
      </c>
      <c r="K60" s="6" t="s">
        <v>34</v>
      </c>
      <c r="L60" s="6">
        <v>5.7000000000000002E-2</v>
      </c>
      <c r="M60" s="6" t="s">
        <v>32</v>
      </c>
      <c r="N60" s="6" t="s">
        <v>47</v>
      </c>
      <c r="O60" s="6">
        <v>55</v>
      </c>
      <c r="P60" s="6" t="s">
        <v>71</v>
      </c>
      <c r="Q60" s="6">
        <v>18</v>
      </c>
      <c r="R60" s="6">
        <v>6.2</v>
      </c>
      <c r="S60" s="6">
        <v>14.2</v>
      </c>
      <c r="T60" s="6">
        <v>-6.4</v>
      </c>
      <c r="U60" s="7">
        <f t="shared" si="11"/>
        <v>1.6132870794139248E-2</v>
      </c>
      <c r="V60" s="6">
        <v>10</v>
      </c>
      <c r="W60" s="6">
        <v>-111.9</v>
      </c>
      <c r="X60" s="6">
        <f t="shared" si="8"/>
        <v>-111.9</v>
      </c>
      <c r="Y60" s="8">
        <f t="shared" si="9"/>
        <v>-178.78333689490233</v>
      </c>
      <c r="Z60" s="8">
        <f t="shared" si="10"/>
        <v>-183.88878699696846</v>
      </c>
    </row>
    <row r="61" spans="1:26" ht="75" customHeight="1" x14ac:dyDescent="0.2">
      <c r="A61" s="5" t="s">
        <v>252</v>
      </c>
      <c r="B61" s="6" t="s">
        <v>253</v>
      </c>
      <c r="C61" s="6" t="s">
        <v>254</v>
      </c>
      <c r="D61" s="1" t="s">
        <v>100</v>
      </c>
      <c r="E61" s="6">
        <v>2019</v>
      </c>
      <c r="F61" s="6" t="s">
        <v>40</v>
      </c>
      <c r="G61" s="6" t="s">
        <v>41</v>
      </c>
      <c r="H61" s="6" t="s">
        <v>32</v>
      </c>
      <c r="I61" s="6" t="s">
        <v>32</v>
      </c>
      <c r="J61" s="6" t="s">
        <v>63</v>
      </c>
      <c r="K61" s="6" t="s">
        <v>34</v>
      </c>
      <c r="L61" s="6">
        <v>0.17</v>
      </c>
      <c r="M61" s="6">
        <v>0.4</v>
      </c>
      <c r="N61" s="6" t="s">
        <v>47</v>
      </c>
      <c r="O61" s="6">
        <v>26.3</v>
      </c>
      <c r="P61" s="6" t="s">
        <v>71</v>
      </c>
      <c r="Q61" s="6">
        <v>20.100000000000001</v>
      </c>
      <c r="R61" s="6">
        <v>2.2999999999999998</v>
      </c>
      <c r="S61" s="6">
        <v>10.3</v>
      </c>
      <c r="T61" s="6">
        <v>-17.8</v>
      </c>
      <c r="U61" s="7">
        <f t="shared" si="11"/>
        <v>1.6112494246966593E-3</v>
      </c>
      <c r="V61" s="6">
        <v>10</v>
      </c>
      <c r="W61" s="6">
        <v>-122.1</v>
      </c>
      <c r="X61" s="6">
        <f t="shared" si="8"/>
        <v>-122.1</v>
      </c>
      <c r="Y61" s="8">
        <f t="shared" si="9"/>
        <v>-186.88183660961923</v>
      </c>
      <c r="Z61" s="8">
        <f t="shared" si="10"/>
        <v>-192.945757758029</v>
      </c>
    </row>
    <row r="62" spans="1:26" ht="75" customHeight="1" x14ac:dyDescent="0.2">
      <c r="A62" s="5" t="s">
        <v>255</v>
      </c>
      <c r="B62" s="6" t="s">
        <v>256</v>
      </c>
      <c r="C62" s="6" t="s">
        <v>257</v>
      </c>
      <c r="D62" s="6" t="s">
        <v>148</v>
      </c>
      <c r="E62" s="6">
        <v>2018</v>
      </c>
      <c r="F62" s="6" t="s">
        <v>40</v>
      </c>
      <c r="G62" s="6" t="s">
        <v>41</v>
      </c>
      <c r="H62" s="6" t="s">
        <v>32</v>
      </c>
      <c r="I62" s="6">
        <v>233</v>
      </c>
      <c r="J62" s="6" t="s">
        <v>33</v>
      </c>
      <c r="K62" s="6" t="s">
        <v>42</v>
      </c>
      <c r="L62" s="6">
        <v>5.8999999999999997E-2</v>
      </c>
      <c r="M62" s="6">
        <f>0.725*0.725</f>
        <v>0.52562500000000001</v>
      </c>
      <c r="N62" s="6" t="s">
        <v>35</v>
      </c>
      <c r="O62" s="6">
        <v>225</v>
      </c>
      <c r="P62" s="6" t="s">
        <v>36</v>
      </c>
      <c r="Q62" s="6">
        <v>5.33</v>
      </c>
      <c r="R62" s="6">
        <v>68</v>
      </c>
      <c r="S62" s="6" t="s">
        <v>32</v>
      </c>
      <c r="T62" s="6">
        <v>3</v>
      </c>
      <c r="U62" s="7" t="e">
        <f t="shared" si="11"/>
        <v>#VALUE!</v>
      </c>
      <c r="V62" s="6">
        <v>1</v>
      </c>
      <c r="W62" s="6">
        <v>-94</v>
      </c>
      <c r="X62" s="6">
        <f t="shared" si="8"/>
        <v>-114</v>
      </c>
      <c r="Y62" s="8">
        <f t="shared" si="9"/>
        <v>-182.71856123516488</v>
      </c>
      <c r="Z62" s="8">
        <f t="shared" si="10"/>
        <v>-177.25310541569633</v>
      </c>
    </row>
    <row r="63" spans="1:26" ht="75" customHeight="1" x14ac:dyDescent="0.2">
      <c r="A63" s="5" t="s">
        <v>258</v>
      </c>
      <c r="B63" s="6" t="s">
        <v>259</v>
      </c>
      <c r="C63" s="6" t="s">
        <v>260</v>
      </c>
      <c r="D63" s="6" t="s">
        <v>122</v>
      </c>
      <c r="E63" s="6">
        <v>2018</v>
      </c>
      <c r="F63" s="6" t="s">
        <v>40</v>
      </c>
      <c r="G63" s="6" t="s">
        <v>41</v>
      </c>
      <c r="H63" s="6">
        <v>200</v>
      </c>
      <c r="I63" s="6">
        <v>398</v>
      </c>
      <c r="J63" s="6" t="s">
        <v>33</v>
      </c>
      <c r="K63" s="6" t="s">
        <v>34</v>
      </c>
      <c r="L63" s="6">
        <v>1.01E-2</v>
      </c>
      <c r="M63" s="6">
        <v>6.7599999999999993E-2</v>
      </c>
      <c r="N63" s="6" t="s">
        <v>47</v>
      </c>
      <c r="O63" s="6">
        <v>213</v>
      </c>
      <c r="P63" s="6" t="s">
        <v>36</v>
      </c>
      <c r="Q63" s="6">
        <v>0</v>
      </c>
      <c r="R63" s="6">
        <v>11.5</v>
      </c>
      <c r="S63" s="6">
        <v>11.5</v>
      </c>
      <c r="T63" s="6">
        <v>-1</v>
      </c>
      <c r="U63" s="7">
        <f t="shared" si="11"/>
        <v>6.9072020410807081E-2</v>
      </c>
      <c r="V63" s="6">
        <v>10</v>
      </c>
      <c r="W63" s="6">
        <v>-114.9</v>
      </c>
      <c r="X63" s="6">
        <f t="shared" si="8"/>
        <v>-114.9</v>
      </c>
      <c r="Y63" s="8">
        <f t="shared" si="9"/>
        <v>-190.86061366523865</v>
      </c>
      <c r="Z63" s="8" t="e">
        <f t="shared" si="10"/>
        <v>#NUM!</v>
      </c>
    </row>
    <row r="64" spans="1:26" ht="75" customHeight="1" x14ac:dyDescent="0.2">
      <c r="A64" s="5" t="s">
        <v>258</v>
      </c>
      <c r="B64" s="6" t="s">
        <v>259</v>
      </c>
      <c r="C64" s="6" t="s">
        <v>260</v>
      </c>
      <c r="D64" s="6" t="s">
        <v>122</v>
      </c>
      <c r="E64" s="6">
        <v>2018</v>
      </c>
      <c r="F64" s="6" t="s">
        <v>40</v>
      </c>
      <c r="G64" s="6" t="s">
        <v>41</v>
      </c>
      <c r="H64" s="6" t="s">
        <v>32</v>
      </c>
      <c r="I64" s="6" t="s">
        <v>32</v>
      </c>
      <c r="J64" s="6" t="s">
        <v>33</v>
      </c>
      <c r="K64" s="6" t="s">
        <v>34</v>
      </c>
      <c r="L64" s="6">
        <v>1.7899999999999999E-2</v>
      </c>
      <c r="M64" s="6">
        <v>6.7599999999999993E-2</v>
      </c>
      <c r="N64" s="6" t="s">
        <v>47</v>
      </c>
      <c r="O64" s="6">
        <v>213</v>
      </c>
      <c r="P64" s="6" t="s">
        <v>36</v>
      </c>
      <c r="Q64" s="6">
        <v>2.2999999999999998</v>
      </c>
      <c r="R64" s="6">
        <v>3.36</v>
      </c>
      <c r="S64" s="6">
        <v>3.36</v>
      </c>
      <c r="T64" s="6">
        <v>-6.93</v>
      </c>
      <c r="U64" s="7">
        <f t="shared" si="11"/>
        <v>6.0347699985752443E-2</v>
      </c>
      <c r="V64" s="6">
        <v>10</v>
      </c>
      <c r="W64" s="6">
        <v>-114.5</v>
      </c>
      <c r="X64" s="6">
        <f t="shared" si="8"/>
        <v>-114.5</v>
      </c>
      <c r="Y64" s="8">
        <f t="shared" si="9"/>
        <v>-195.80419929487633</v>
      </c>
      <c r="Z64" s="8">
        <f t="shared" si="10"/>
        <v>-183.03875601522819</v>
      </c>
    </row>
    <row r="65" spans="1:26" ht="75" customHeight="1" x14ac:dyDescent="0.2">
      <c r="A65" s="5" t="s">
        <v>261</v>
      </c>
      <c r="B65" s="1" t="s">
        <v>262</v>
      </c>
      <c r="C65" s="1" t="s">
        <v>263</v>
      </c>
      <c r="D65" s="1" t="s">
        <v>81</v>
      </c>
      <c r="E65" s="1">
        <v>2018</v>
      </c>
      <c r="F65" s="6" t="s">
        <v>30</v>
      </c>
      <c r="G65" s="6" t="s">
        <v>41</v>
      </c>
      <c r="H65" s="6" t="s">
        <v>32</v>
      </c>
      <c r="I65" s="1">
        <v>116</v>
      </c>
      <c r="J65" s="1" t="s">
        <v>63</v>
      </c>
      <c r="K65" s="1" t="s">
        <v>34</v>
      </c>
      <c r="L65" s="1">
        <v>1.2500000000000001E-2</v>
      </c>
      <c r="M65" s="11">
        <f>0.745*0.685</f>
        <v>0.51032500000000003</v>
      </c>
      <c r="N65" s="6" t="s">
        <v>47</v>
      </c>
      <c r="O65" s="1">
        <v>91</v>
      </c>
      <c r="P65" s="1" t="s">
        <v>36</v>
      </c>
      <c r="Q65" s="1">
        <v>0.5</v>
      </c>
      <c r="R65" s="1">
        <v>46</v>
      </c>
      <c r="S65" s="1">
        <v>46</v>
      </c>
      <c r="T65" s="1">
        <v>4.5</v>
      </c>
      <c r="U65" s="7">
        <f t="shared" si="11"/>
        <v>6.1269194157922917E-2</v>
      </c>
      <c r="V65" s="1">
        <v>1</v>
      </c>
      <c r="W65" s="1">
        <v>-87</v>
      </c>
      <c r="X65" s="6">
        <f t="shared" si="8"/>
        <v>-107</v>
      </c>
      <c r="Y65" s="8">
        <f t="shared" si="9"/>
        <v>-169.55324952960615</v>
      </c>
      <c r="Z65" s="8">
        <f t="shared" si="10"/>
        <v>-143.53264961632652</v>
      </c>
    </row>
    <row r="66" spans="1:26" ht="75" customHeight="1" x14ac:dyDescent="0.2">
      <c r="A66" s="5" t="s">
        <v>264</v>
      </c>
      <c r="B66" s="6" t="s">
        <v>265</v>
      </c>
      <c r="C66" s="6" t="s">
        <v>266</v>
      </c>
      <c r="D66" s="6" t="s">
        <v>267</v>
      </c>
      <c r="E66" s="6">
        <v>2018</v>
      </c>
      <c r="F66" s="6" t="s">
        <v>30</v>
      </c>
      <c r="G66" s="6" t="s">
        <v>31</v>
      </c>
      <c r="H66" s="6">
        <v>230</v>
      </c>
      <c r="I66" s="6">
        <v>300</v>
      </c>
      <c r="J66" s="6" t="s">
        <v>33</v>
      </c>
      <c r="K66" s="6" t="s">
        <v>42</v>
      </c>
      <c r="L66" s="6">
        <v>8.5000000000000006E-3</v>
      </c>
      <c r="M66" s="6">
        <v>2.8000000000000001E-2</v>
      </c>
      <c r="N66" s="6" t="s">
        <v>47</v>
      </c>
      <c r="O66" s="6">
        <v>88</v>
      </c>
      <c r="P66" s="6" t="s">
        <v>36</v>
      </c>
      <c r="Q66" s="8">
        <f>1/88*100</f>
        <v>1.1363636363636365</v>
      </c>
      <c r="R66" s="6">
        <v>29</v>
      </c>
      <c r="S66" s="6">
        <v>29</v>
      </c>
      <c r="T66" s="6">
        <v>7.5</v>
      </c>
      <c r="U66" s="7">
        <f t="shared" si="11"/>
        <v>0.1939108017897756</v>
      </c>
      <c r="V66" s="6">
        <v>1</v>
      </c>
      <c r="W66" s="6">
        <v>-106.9</v>
      </c>
      <c r="X66" s="6">
        <f t="shared" ref="X66:X77" si="12">W66+20*LOG10(V66/10)</f>
        <v>-126.9</v>
      </c>
      <c r="Y66" s="8">
        <f t="shared" si="9"/>
        <v>-191.16567346401382</v>
      </c>
      <c r="Z66" s="8">
        <f t="shared" si="10"/>
        <v>-172.27602002101045</v>
      </c>
    </row>
    <row r="67" spans="1:26" ht="75" customHeight="1" x14ac:dyDescent="0.2">
      <c r="A67" s="5" t="s">
        <v>268</v>
      </c>
      <c r="B67" s="6" t="s">
        <v>269</v>
      </c>
      <c r="C67" s="6" t="s">
        <v>270</v>
      </c>
      <c r="D67" s="1" t="s">
        <v>55</v>
      </c>
      <c r="E67" s="6">
        <v>2018</v>
      </c>
      <c r="F67" s="6" t="s">
        <v>40</v>
      </c>
      <c r="G67" s="6" t="s">
        <v>41</v>
      </c>
      <c r="H67" s="6">
        <v>160</v>
      </c>
      <c r="I67" s="6">
        <v>200</v>
      </c>
      <c r="J67" s="6" t="s">
        <v>63</v>
      </c>
      <c r="K67" s="6" t="s">
        <v>34</v>
      </c>
      <c r="L67" s="9">
        <f>0.135*0.185</f>
        <v>2.4975000000000001E-2</v>
      </c>
      <c r="M67" s="6">
        <f>0.49*0.49</f>
        <v>0.24009999999999998</v>
      </c>
      <c r="N67" s="6" t="s">
        <v>47</v>
      </c>
      <c r="O67" s="6">
        <v>84.14</v>
      </c>
      <c r="P67" s="6" t="s">
        <v>36</v>
      </c>
      <c r="Q67" s="6">
        <v>0</v>
      </c>
      <c r="R67" s="6">
        <v>4.9000000000000004</v>
      </c>
      <c r="S67" s="6">
        <v>7</v>
      </c>
      <c r="T67" s="6">
        <v>-25</v>
      </c>
      <c r="U67" s="7">
        <f t="shared" si="11"/>
        <v>4.5175395145262518E-4</v>
      </c>
      <c r="V67" s="6">
        <v>10</v>
      </c>
      <c r="W67" s="6">
        <v>-105.5</v>
      </c>
      <c r="X67" s="6">
        <f t="shared" si="12"/>
        <v>-105.5</v>
      </c>
      <c r="Y67" s="8">
        <f t="shared" si="9"/>
        <v>-177.09808935333442</v>
      </c>
      <c r="Z67" s="8" t="e">
        <f t="shared" si="10"/>
        <v>#NUM!</v>
      </c>
    </row>
    <row r="68" spans="1:26" ht="64.150000000000006" customHeight="1" x14ac:dyDescent="0.2">
      <c r="A68" s="5" t="s">
        <v>271</v>
      </c>
      <c r="B68" s="6" t="s">
        <v>272</v>
      </c>
      <c r="C68" s="6" t="s">
        <v>273</v>
      </c>
      <c r="D68" s="6" t="s">
        <v>274</v>
      </c>
      <c r="E68" s="6">
        <v>2018</v>
      </c>
      <c r="F68" s="6" t="s">
        <v>40</v>
      </c>
      <c r="G68" s="6" t="s">
        <v>41</v>
      </c>
      <c r="H68" s="6">
        <v>160</v>
      </c>
      <c r="I68" s="6">
        <v>200</v>
      </c>
      <c r="J68" s="6" t="s">
        <v>33</v>
      </c>
      <c r="K68" s="6" t="s">
        <v>34</v>
      </c>
      <c r="L68" s="6" t="s">
        <v>32</v>
      </c>
      <c r="M68" s="6" t="s">
        <v>32</v>
      </c>
      <c r="N68" s="6" t="s">
        <v>47</v>
      </c>
      <c r="O68" s="6">
        <v>77</v>
      </c>
      <c r="P68" s="6" t="s">
        <v>71</v>
      </c>
      <c r="Q68" s="6">
        <v>7.79</v>
      </c>
      <c r="R68" s="6" t="s">
        <v>275</v>
      </c>
      <c r="S68" s="6" t="s">
        <v>32</v>
      </c>
      <c r="T68" s="6">
        <v>-11</v>
      </c>
      <c r="U68" s="6" t="s">
        <v>32</v>
      </c>
      <c r="V68" s="6">
        <v>1</v>
      </c>
      <c r="W68" s="6">
        <v>-94</v>
      </c>
      <c r="X68" s="6">
        <f t="shared" si="12"/>
        <v>-114</v>
      </c>
      <c r="Y68" s="8">
        <f t="shared" si="9"/>
        <v>-186.23978188319177</v>
      </c>
      <c r="Z68" s="8">
        <f t="shared" si="10"/>
        <v>-184.07053103664305</v>
      </c>
    </row>
    <row r="69" spans="1:26" ht="75" customHeight="1" x14ac:dyDescent="0.2">
      <c r="A69" s="5" t="s">
        <v>276</v>
      </c>
      <c r="B69" s="6" t="s">
        <v>277</v>
      </c>
      <c r="C69" s="6" t="s">
        <v>278</v>
      </c>
      <c r="D69" s="6" t="s">
        <v>162</v>
      </c>
      <c r="E69" s="6">
        <v>2018</v>
      </c>
      <c r="F69" s="6" t="s">
        <v>112</v>
      </c>
      <c r="G69" s="6" t="s">
        <v>41</v>
      </c>
      <c r="H69" s="6" t="s">
        <v>32</v>
      </c>
      <c r="I69" s="6" t="s">
        <v>32</v>
      </c>
      <c r="J69" s="6" t="s">
        <v>63</v>
      </c>
      <c r="K69" s="6" t="s">
        <v>34</v>
      </c>
      <c r="L69" s="6">
        <v>5.5E-2</v>
      </c>
      <c r="M69" s="6">
        <v>0.15</v>
      </c>
      <c r="N69" s="6" t="s">
        <v>35</v>
      </c>
      <c r="O69" s="6">
        <v>61.5</v>
      </c>
      <c r="P69" s="6" t="s">
        <v>36</v>
      </c>
      <c r="Q69" s="6">
        <v>30</v>
      </c>
      <c r="R69" s="6">
        <v>24</v>
      </c>
      <c r="S69" s="6">
        <v>68</v>
      </c>
      <c r="T69" s="6">
        <v>-15.6</v>
      </c>
      <c r="U69" s="7">
        <f t="shared" ref="U69:U75" si="13">10^(T69/10)/S69</f>
        <v>4.0503363284384776E-4</v>
      </c>
      <c r="V69" s="6">
        <v>1</v>
      </c>
      <c r="W69" s="6">
        <v>-93</v>
      </c>
      <c r="X69" s="6">
        <f t="shared" si="12"/>
        <v>-113</v>
      </c>
      <c r="Y69" s="8">
        <f t="shared" si="9"/>
        <v>-174.97538989839228</v>
      </c>
      <c r="Z69" s="8">
        <f t="shared" si="10"/>
        <v>-184.51781499278553</v>
      </c>
    </row>
    <row r="70" spans="1:26" ht="75" customHeight="1" x14ac:dyDescent="0.2">
      <c r="A70" s="5" t="s">
        <v>279</v>
      </c>
      <c r="B70" s="6" t="s">
        <v>280</v>
      </c>
      <c r="C70" s="6" t="s">
        <v>281</v>
      </c>
      <c r="D70" s="6" t="s">
        <v>219</v>
      </c>
      <c r="E70" s="6">
        <v>2018</v>
      </c>
      <c r="F70" s="6" t="s">
        <v>112</v>
      </c>
      <c r="G70" s="6" t="s">
        <v>41</v>
      </c>
      <c r="H70" s="6" t="s">
        <v>32</v>
      </c>
      <c r="I70" s="6" t="s">
        <v>32</v>
      </c>
      <c r="J70" s="6" t="s">
        <v>63</v>
      </c>
      <c r="K70" s="6" t="s">
        <v>34</v>
      </c>
      <c r="L70" s="6">
        <v>0.02</v>
      </c>
      <c r="M70" s="6">
        <v>0.28000000000000003</v>
      </c>
      <c r="N70" s="6" t="s">
        <v>35</v>
      </c>
      <c r="O70" s="6">
        <v>60</v>
      </c>
      <c r="P70" s="6" t="s">
        <v>36</v>
      </c>
      <c r="Q70" s="6">
        <v>16</v>
      </c>
      <c r="R70" s="6">
        <v>11</v>
      </c>
      <c r="S70" s="6">
        <v>44.1</v>
      </c>
      <c r="T70" s="6">
        <v>-23</v>
      </c>
      <c r="U70" s="7">
        <f t="shared" si="13"/>
        <v>1.1364789878169435E-4</v>
      </c>
      <c r="V70" s="6">
        <v>1</v>
      </c>
      <c r="W70" s="6">
        <v>-87</v>
      </c>
      <c r="X70" s="6">
        <f t="shared" si="12"/>
        <v>-107</v>
      </c>
      <c r="Y70" s="8">
        <f t="shared" si="9"/>
        <v>-172.14909815609062</v>
      </c>
      <c r="Z70" s="8">
        <f t="shared" si="10"/>
        <v>-176.23149780920912</v>
      </c>
    </row>
    <row r="71" spans="1:26" ht="75" customHeight="1" x14ac:dyDescent="0.2">
      <c r="A71" s="5" t="s">
        <v>282</v>
      </c>
      <c r="B71" s="6" t="s">
        <v>283</v>
      </c>
      <c r="C71" s="6" t="s">
        <v>284</v>
      </c>
      <c r="D71" s="6" t="s">
        <v>51</v>
      </c>
      <c r="E71" s="6">
        <v>2017</v>
      </c>
      <c r="F71" s="6" t="s">
        <v>197</v>
      </c>
      <c r="G71" s="6" t="s">
        <v>31</v>
      </c>
      <c r="H71" s="6" t="s">
        <v>32</v>
      </c>
      <c r="I71" s="6">
        <v>340</v>
      </c>
      <c r="J71" s="6" t="s">
        <v>33</v>
      </c>
      <c r="K71" s="6" t="s">
        <v>34</v>
      </c>
      <c r="L71" s="6">
        <v>5.2999999999999999E-2</v>
      </c>
      <c r="M71" s="6">
        <f>0.41*0.37</f>
        <v>0.1517</v>
      </c>
      <c r="N71" s="6" t="s">
        <v>47</v>
      </c>
      <c r="O71" s="6">
        <v>195</v>
      </c>
      <c r="P71" s="6" t="s">
        <v>36</v>
      </c>
      <c r="Q71" s="6">
        <v>1.1000000000000001</v>
      </c>
      <c r="R71" s="6">
        <v>29.4</v>
      </c>
      <c r="S71" s="6">
        <v>29.4</v>
      </c>
      <c r="T71" s="6">
        <v>6.5</v>
      </c>
      <c r="U71" s="7">
        <f t="shared" si="13"/>
        <v>0.15193319460917115</v>
      </c>
      <c r="V71" s="6">
        <v>1</v>
      </c>
      <c r="W71" s="6">
        <v>-98.6</v>
      </c>
      <c r="X71" s="6">
        <f t="shared" si="12"/>
        <v>-118.6</v>
      </c>
      <c r="Y71" s="8">
        <f t="shared" si="9"/>
        <v>-189.7172189231288</v>
      </c>
      <c r="Z71" s="8">
        <f t="shared" si="10"/>
        <v>-170.54507262629329</v>
      </c>
    </row>
    <row r="72" spans="1:26" ht="75" customHeight="1" x14ac:dyDescent="0.2">
      <c r="A72" s="6" t="s">
        <v>285</v>
      </c>
      <c r="B72" s="6" t="s">
        <v>286</v>
      </c>
      <c r="C72" s="6" t="s">
        <v>287</v>
      </c>
      <c r="D72" s="6" t="s">
        <v>100</v>
      </c>
      <c r="E72" s="6">
        <v>2017</v>
      </c>
      <c r="F72" s="6" t="s">
        <v>30</v>
      </c>
      <c r="G72" s="6" t="s">
        <v>31</v>
      </c>
      <c r="H72" s="6">
        <v>230</v>
      </c>
      <c r="I72" s="6">
        <v>280</v>
      </c>
      <c r="J72" s="6" t="s">
        <v>33</v>
      </c>
      <c r="K72" s="6" t="s">
        <v>34</v>
      </c>
      <c r="L72" s="6">
        <v>1.2999999999999999E-2</v>
      </c>
      <c r="M72" s="6">
        <v>0.19</v>
      </c>
      <c r="N72" s="6" t="s">
        <v>47</v>
      </c>
      <c r="O72" s="6">
        <v>175.6</v>
      </c>
      <c r="P72" s="6" t="s">
        <v>36</v>
      </c>
      <c r="Q72" s="6">
        <v>0.34</v>
      </c>
      <c r="R72" s="6">
        <v>25.8</v>
      </c>
      <c r="S72" s="6">
        <v>25.8</v>
      </c>
      <c r="T72" s="6">
        <v>4.8</v>
      </c>
      <c r="U72" s="7">
        <f t="shared" si="13"/>
        <v>0.11705239226364404</v>
      </c>
      <c r="V72" s="6">
        <v>1</v>
      </c>
      <c r="W72" s="6">
        <v>-101.7</v>
      </c>
      <c r="X72" s="6">
        <f t="shared" si="12"/>
        <v>-121.7</v>
      </c>
      <c r="Y72" s="8">
        <f t="shared" si="9"/>
        <v>-192.47429317176938</v>
      </c>
      <c r="Z72" s="8">
        <f t="shared" si="10"/>
        <v>-163.10387151261449</v>
      </c>
    </row>
    <row r="73" spans="1:26" ht="75" customHeight="1" x14ac:dyDescent="0.2">
      <c r="A73" s="5" t="s">
        <v>288</v>
      </c>
      <c r="B73" s="6" t="s">
        <v>289</v>
      </c>
      <c r="C73" s="6" t="s">
        <v>290</v>
      </c>
      <c r="D73" s="6" t="s">
        <v>291</v>
      </c>
      <c r="E73" s="6">
        <v>2017</v>
      </c>
      <c r="F73" s="6" t="s">
        <v>104</v>
      </c>
      <c r="G73" s="6" t="s">
        <v>41</v>
      </c>
      <c r="H73" s="6">
        <v>180</v>
      </c>
      <c r="I73" s="6">
        <v>250</v>
      </c>
      <c r="J73" s="6" t="s">
        <v>63</v>
      </c>
      <c r="K73" s="6" t="s">
        <v>34</v>
      </c>
      <c r="L73" s="6">
        <v>0.23</v>
      </c>
      <c r="M73" s="6">
        <f>0.55*0.72</f>
        <v>0.39600000000000002</v>
      </c>
      <c r="N73" s="6" t="s">
        <v>35</v>
      </c>
      <c r="O73" s="6">
        <f>AVERAGE(122.9,142.9)</f>
        <v>132.9</v>
      </c>
      <c r="P73" s="6" t="s">
        <v>71</v>
      </c>
      <c r="Q73" s="6">
        <v>14.5</v>
      </c>
      <c r="R73" s="6">
        <v>51</v>
      </c>
      <c r="S73" s="6">
        <v>51</v>
      </c>
      <c r="T73" s="6">
        <v>-2</v>
      </c>
      <c r="U73" s="7">
        <f t="shared" si="13"/>
        <v>1.2371712636866533E-2</v>
      </c>
      <c r="V73" s="6">
        <v>1</v>
      </c>
      <c r="W73" s="6">
        <v>-96.5</v>
      </c>
      <c r="X73" s="6">
        <f t="shared" si="12"/>
        <v>-116.5</v>
      </c>
      <c r="Y73" s="8">
        <f t="shared" si="9"/>
        <v>-181.89479785787529</v>
      </c>
      <c r="Z73" s="8">
        <f t="shared" si="10"/>
        <v>-185.1221579025748</v>
      </c>
    </row>
    <row r="74" spans="1:26" ht="75" customHeight="1" x14ac:dyDescent="0.2">
      <c r="A74" s="5" t="s">
        <v>292</v>
      </c>
      <c r="B74" s="6" t="s">
        <v>293</v>
      </c>
      <c r="C74" s="6" t="s">
        <v>294</v>
      </c>
      <c r="D74" s="6" t="s">
        <v>291</v>
      </c>
      <c r="E74" s="6">
        <v>2017</v>
      </c>
      <c r="F74" s="6" t="s">
        <v>245</v>
      </c>
      <c r="G74" s="6" t="s">
        <v>118</v>
      </c>
      <c r="H74" s="6" t="s">
        <v>32</v>
      </c>
      <c r="I74" s="6" t="s">
        <v>32</v>
      </c>
      <c r="J74" s="6" t="s">
        <v>63</v>
      </c>
      <c r="K74" s="6" t="s">
        <v>42</v>
      </c>
      <c r="L74" s="6">
        <v>4.8000000000000001E-2</v>
      </c>
      <c r="M74" s="6">
        <v>0.12</v>
      </c>
      <c r="N74" s="6" t="s">
        <v>35</v>
      </c>
      <c r="O74" s="6">
        <f>AVERAGE(54,78)</f>
        <v>66</v>
      </c>
      <c r="P74" s="6" t="s">
        <v>36</v>
      </c>
      <c r="Q74" s="6">
        <v>36</v>
      </c>
      <c r="R74" s="6">
        <v>65</v>
      </c>
      <c r="S74" s="6">
        <v>65</v>
      </c>
      <c r="T74" s="6">
        <v>-22.2</v>
      </c>
      <c r="U74" s="7">
        <f t="shared" si="13"/>
        <v>9.2701474780670419E-5</v>
      </c>
      <c r="V74" s="6">
        <v>1</v>
      </c>
      <c r="W74" s="6">
        <v>-94</v>
      </c>
      <c r="X74" s="6">
        <f t="shared" si="12"/>
        <v>-114</v>
      </c>
      <c r="Y74" s="8">
        <f t="shared" si="9"/>
        <v>-172.26174514440882</v>
      </c>
      <c r="Z74" s="8">
        <f t="shared" si="10"/>
        <v>-183.38779515975457</v>
      </c>
    </row>
    <row r="75" spans="1:26" ht="75" customHeight="1" x14ac:dyDescent="0.2">
      <c r="A75" s="5" t="s">
        <v>295</v>
      </c>
      <c r="B75" s="6" t="s">
        <v>296</v>
      </c>
      <c r="C75" s="6" t="s">
        <v>297</v>
      </c>
      <c r="D75" s="6" t="s">
        <v>219</v>
      </c>
      <c r="E75" s="6">
        <v>2017</v>
      </c>
      <c r="F75" s="6" t="s">
        <v>104</v>
      </c>
      <c r="G75" s="6" t="s">
        <v>41</v>
      </c>
      <c r="H75" s="6">
        <v>300</v>
      </c>
      <c r="I75" s="6">
        <v>200</v>
      </c>
      <c r="J75" s="6" t="s">
        <v>63</v>
      </c>
      <c r="K75" s="6" t="s">
        <v>42</v>
      </c>
      <c r="L75" s="6">
        <v>4.8000000000000001E-2</v>
      </c>
      <c r="M75" s="6">
        <v>0.57999999999999996</v>
      </c>
      <c r="N75" s="6" t="s">
        <v>35</v>
      </c>
      <c r="O75" s="6">
        <f>AVERAGE(52,67)</f>
        <v>59.5</v>
      </c>
      <c r="P75" s="6" t="s">
        <v>36</v>
      </c>
      <c r="Q75" s="6">
        <v>25</v>
      </c>
      <c r="R75" s="6">
        <v>39.6</v>
      </c>
      <c r="S75" s="6">
        <v>66</v>
      </c>
      <c r="T75" s="6">
        <v>-20</v>
      </c>
      <c r="U75" s="7">
        <f t="shared" si="13"/>
        <v>1.5151515151515152E-4</v>
      </c>
      <c r="V75" s="6">
        <v>1</v>
      </c>
      <c r="W75" s="6">
        <v>-91.8</v>
      </c>
      <c r="X75" s="6">
        <f t="shared" si="12"/>
        <v>-111.8</v>
      </c>
      <c r="Y75" s="8">
        <f t="shared" si="9"/>
        <v>-171.31338745531588</v>
      </c>
      <c r="Z75" s="8">
        <f t="shared" si="10"/>
        <v>-179.27218762875663</v>
      </c>
    </row>
    <row r="76" spans="1:26" ht="75" customHeight="1" x14ac:dyDescent="0.2">
      <c r="A76" s="5" t="s">
        <v>298</v>
      </c>
      <c r="B76" s="6" t="s">
        <v>299</v>
      </c>
      <c r="C76" s="6" t="s">
        <v>300</v>
      </c>
      <c r="D76" s="6" t="s">
        <v>85</v>
      </c>
      <c r="E76" s="6">
        <v>2017</v>
      </c>
      <c r="F76" s="6" t="s">
        <v>76</v>
      </c>
      <c r="G76" s="6" t="s">
        <v>41</v>
      </c>
      <c r="H76" s="6">
        <v>140</v>
      </c>
      <c r="I76" s="6">
        <v>170</v>
      </c>
      <c r="J76" s="6" t="s">
        <v>63</v>
      </c>
      <c r="K76" s="6" t="s">
        <v>34</v>
      </c>
      <c r="L76" s="6">
        <v>0.09</v>
      </c>
      <c r="M76" s="6">
        <v>0.48</v>
      </c>
      <c r="N76" s="6" t="s">
        <v>47</v>
      </c>
      <c r="O76" s="6">
        <v>20.85</v>
      </c>
      <c r="P76" s="6" t="s">
        <v>36</v>
      </c>
      <c r="Q76" s="6">
        <v>15.8</v>
      </c>
      <c r="R76" s="6">
        <v>8.1</v>
      </c>
      <c r="S76" s="6" t="s">
        <v>32</v>
      </c>
      <c r="T76" s="6">
        <v>-11.5</v>
      </c>
      <c r="U76" s="6" t="s">
        <v>32</v>
      </c>
      <c r="V76" s="6">
        <v>1</v>
      </c>
      <c r="W76" s="6">
        <v>-100.7</v>
      </c>
      <c r="X76" s="6">
        <f t="shared" si="12"/>
        <v>-120.7</v>
      </c>
      <c r="Y76" s="8">
        <f t="shared" si="9"/>
        <v>-177.99727099740903</v>
      </c>
      <c r="Z76" s="8">
        <f t="shared" si="10"/>
        <v>-181.97041273649748</v>
      </c>
    </row>
    <row r="77" spans="1:26" ht="75" customHeight="1" x14ac:dyDescent="0.2">
      <c r="A77" s="5" t="s">
        <v>301</v>
      </c>
      <c r="B77" s="6" t="s">
        <v>302</v>
      </c>
      <c r="C77" s="6" t="s">
        <v>303</v>
      </c>
      <c r="D77" s="6" t="s">
        <v>111</v>
      </c>
      <c r="E77" s="6">
        <v>2016</v>
      </c>
      <c r="F77" s="6" t="s">
        <v>30</v>
      </c>
      <c r="G77" s="6" t="s">
        <v>31</v>
      </c>
      <c r="H77" s="6">
        <v>250</v>
      </c>
      <c r="I77" s="6">
        <v>370</v>
      </c>
      <c r="J77" s="6" t="s">
        <v>63</v>
      </c>
      <c r="K77" s="6" t="s">
        <v>34</v>
      </c>
      <c r="L77" s="6">
        <v>7.9000000000000001E-2</v>
      </c>
      <c r="M77" s="6">
        <v>0.53</v>
      </c>
      <c r="N77" s="6" t="s">
        <v>35</v>
      </c>
      <c r="O77" s="6">
        <v>168</v>
      </c>
      <c r="P77" s="6" t="s">
        <v>71</v>
      </c>
      <c r="Q77" s="6">
        <v>23.8</v>
      </c>
      <c r="R77" s="6">
        <v>108</v>
      </c>
      <c r="S77" s="6" t="s">
        <v>32</v>
      </c>
      <c r="T77" s="6" t="s">
        <v>32</v>
      </c>
      <c r="U77" s="6" t="s">
        <v>32</v>
      </c>
      <c r="V77" s="6">
        <v>1</v>
      </c>
      <c r="W77" s="6">
        <v>-91</v>
      </c>
      <c r="X77" s="6">
        <f t="shared" si="12"/>
        <v>-111</v>
      </c>
      <c r="Y77" s="8">
        <f t="shared" si="9"/>
        <v>-175.17194807964776</v>
      </c>
      <c r="Z77" s="8">
        <f t="shared" si="10"/>
        <v>-182.70348722077802</v>
      </c>
    </row>
    <row r="78" spans="1:26" ht="75" customHeight="1" x14ac:dyDescent="0.2">
      <c r="A78" s="5" t="s">
        <v>304</v>
      </c>
      <c r="B78" s="6" t="s">
        <v>305</v>
      </c>
      <c r="C78" s="6" t="s">
        <v>306</v>
      </c>
      <c r="D78" s="6" t="s">
        <v>162</v>
      </c>
      <c r="E78" s="6">
        <v>2016</v>
      </c>
      <c r="F78" s="6" t="s">
        <v>30</v>
      </c>
      <c r="G78" s="6" t="s">
        <v>31</v>
      </c>
      <c r="H78" s="6">
        <v>200</v>
      </c>
      <c r="I78" s="6">
        <v>280</v>
      </c>
      <c r="J78" s="6" t="s">
        <v>33</v>
      </c>
      <c r="K78" s="6" t="s">
        <v>34</v>
      </c>
      <c r="L78" s="6">
        <v>1.2500000000000001E-2</v>
      </c>
      <c r="M78" s="6">
        <f>0.33*0.26</f>
        <v>8.5800000000000001E-2</v>
      </c>
      <c r="N78" s="6" t="s">
        <v>35</v>
      </c>
      <c r="O78" s="6">
        <v>121</v>
      </c>
      <c r="P78" s="6" t="s">
        <v>36</v>
      </c>
      <c r="Q78" s="6">
        <v>18.2</v>
      </c>
      <c r="R78" s="6">
        <v>33</v>
      </c>
      <c r="S78" s="6">
        <v>42</v>
      </c>
      <c r="T78" s="6">
        <v>1.5</v>
      </c>
      <c r="U78" s="7">
        <f>10^(T78/10)/S78</f>
        <v>3.3631846300541772E-2</v>
      </c>
      <c r="V78" s="6" t="s">
        <v>32</v>
      </c>
      <c r="W78" s="6" t="s">
        <v>32</v>
      </c>
      <c r="X78" s="6" t="s">
        <v>32</v>
      </c>
      <c r="Y78" s="6" t="s">
        <v>32</v>
      </c>
      <c r="Z78" s="6" t="s">
        <v>32</v>
      </c>
    </row>
    <row r="79" spans="1:26" ht="75" customHeight="1" x14ac:dyDescent="0.2">
      <c r="A79" s="5" t="s">
        <v>307</v>
      </c>
      <c r="B79" s="6" t="s">
        <v>308</v>
      </c>
      <c r="C79" s="6" t="s">
        <v>309</v>
      </c>
      <c r="D79" s="6" t="s">
        <v>310</v>
      </c>
      <c r="E79" s="6">
        <v>2016</v>
      </c>
      <c r="F79" s="6" t="s">
        <v>40</v>
      </c>
      <c r="G79" s="6" t="s">
        <v>41</v>
      </c>
      <c r="H79" s="1" t="s">
        <v>32</v>
      </c>
      <c r="I79" s="1" t="s">
        <v>32</v>
      </c>
      <c r="J79" s="6" t="s">
        <v>63</v>
      </c>
      <c r="K79" s="6" t="s">
        <v>34</v>
      </c>
      <c r="L79" s="6">
        <v>0.02</v>
      </c>
      <c r="M79" s="6">
        <v>8.4000000000000005E-2</v>
      </c>
      <c r="N79" s="6" t="s">
        <v>47</v>
      </c>
      <c r="O79" s="6">
        <v>103.1</v>
      </c>
      <c r="P79" s="6" t="s">
        <v>71</v>
      </c>
      <c r="Q79" s="6">
        <v>14.3</v>
      </c>
      <c r="R79" s="6">
        <v>6.2</v>
      </c>
      <c r="S79" s="6" t="s">
        <v>32</v>
      </c>
      <c r="T79" s="6">
        <v>-35.130000000000003</v>
      </c>
      <c r="U79" s="6" t="s">
        <v>32</v>
      </c>
      <c r="V79" s="6">
        <v>10</v>
      </c>
      <c r="W79" s="6">
        <v>-106.9</v>
      </c>
      <c r="X79" s="6">
        <f t="shared" ref="X79:X99" si="14">W79+20*LOG10(V79/10)</f>
        <v>-106.9</v>
      </c>
      <c r="Y79" s="8">
        <f>W79-20*LOG10(O79*1000000000/(V79*1000000))+10*LOG10(R79)</f>
        <v>-179.24125641068781</v>
      </c>
      <c r="Z79" s="8">
        <f>W79-20*LOG10(O79*1000000000/(V79*1000000))+10*LOG10(R79)-20*LOG(Q79/10)</f>
        <v>-182.34797715998906</v>
      </c>
    </row>
    <row r="80" spans="1:26" ht="75" customHeight="1" x14ac:dyDescent="0.2">
      <c r="A80" s="5" t="s">
        <v>311</v>
      </c>
      <c r="B80" s="6" t="s">
        <v>312</v>
      </c>
      <c r="C80" s="6" t="s">
        <v>313</v>
      </c>
      <c r="D80" s="6" t="s">
        <v>100</v>
      </c>
      <c r="E80" s="6">
        <v>2016</v>
      </c>
      <c r="F80" s="6" t="s">
        <v>40</v>
      </c>
      <c r="G80" s="6" t="s">
        <v>41</v>
      </c>
      <c r="H80" s="6" t="s">
        <v>32</v>
      </c>
      <c r="I80" s="6" t="s">
        <v>32</v>
      </c>
      <c r="J80" s="6" t="s">
        <v>63</v>
      </c>
      <c r="K80" s="6" t="s">
        <v>34</v>
      </c>
      <c r="L80" s="6">
        <v>1.2999999999999999E-2</v>
      </c>
      <c r="M80" s="1" t="s">
        <v>32</v>
      </c>
      <c r="N80" s="6" t="s">
        <v>47</v>
      </c>
      <c r="O80" s="6">
        <v>89.4</v>
      </c>
      <c r="P80" s="6" t="s">
        <v>71</v>
      </c>
      <c r="Q80" s="6">
        <v>5.15</v>
      </c>
      <c r="R80" s="6">
        <v>11</v>
      </c>
      <c r="S80" s="6" t="s">
        <v>32</v>
      </c>
      <c r="T80" s="6" t="s">
        <v>32</v>
      </c>
      <c r="U80" s="6" t="s">
        <v>32</v>
      </c>
      <c r="V80" s="6">
        <v>10</v>
      </c>
      <c r="W80" s="6">
        <v>-108.3</v>
      </c>
      <c r="X80" s="6">
        <f t="shared" si="14"/>
        <v>-108.3</v>
      </c>
      <c r="Y80" s="8">
        <f>W80-20*LOG10(O80*1000000000/(V80*1000000))+10*LOG10(R80)</f>
        <v>-176.91282352433609</v>
      </c>
      <c r="Z80" s="8">
        <f>W80-20*LOG10(O80*1000000000/(V80*1000000))+10*LOG10(R80)-20*LOG(Q80/10)</f>
        <v>-171.14896810515992</v>
      </c>
    </row>
    <row r="81" spans="1:26" ht="75" customHeight="1" x14ac:dyDescent="0.2">
      <c r="A81" s="5" t="s">
        <v>314</v>
      </c>
      <c r="B81" s="6" t="s">
        <v>315</v>
      </c>
      <c r="C81" s="6" t="s">
        <v>316</v>
      </c>
      <c r="D81" s="6" t="s">
        <v>317</v>
      </c>
      <c r="E81" s="6">
        <v>2016</v>
      </c>
      <c r="F81" s="6" t="s">
        <v>197</v>
      </c>
      <c r="G81" s="6" t="s">
        <v>41</v>
      </c>
      <c r="H81" s="6" t="s">
        <v>32</v>
      </c>
      <c r="I81" s="6" t="s">
        <v>32</v>
      </c>
      <c r="J81" s="6" t="s">
        <v>63</v>
      </c>
      <c r="K81" s="6" t="s">
        <v>42</v>
      </c>
      <c r="L81" s="6">
        <f>0.83*0.66</f>
        <v>0.54779999999999995</v>
      </c>
      <c r="M81" s="1">
        <v>1.21</v>
      </c>
      <c r="N81" s="6" t="s">
        <v>35</v>
      </c>
      <c r="O81" s="6">
        <v>84</v>
      </c>
      <c r="P81" s="6" t="s">
        <v>71</v>
      </c>
      <c r="Q81" s="9">
        <v>15.8</v>
      </c>
      <c r="R81" s="6">
        <v>48</v>
      </c>
      <c r="S81" s="6">
        <v>55</v>
      </c>
      <c r="T81" s="6" t="s">
        <v>32</v>
      </c>
      <c r="U81" s="6" t="s">
        <v>32</v>
      </c>
      <c r="V81" s="6">
        <v>1</v>
      </c>
      <c r="W81" s="6">
        <v>-99</v>
      </c>
      <c r="X81" s="6">
        <f t="shared" si="14"/>
        <v>-119</v>
      </c>
      <c r="Y81" s="8">
        <f>W81-20*LOG10(O81*1000000000/(V81*1000000))+10*LOG10(R81)</f>
        <v>-180.67317334748176</v>
      </c>
      <c r="Z81" s="8">
        <f>W81-20*LOG10(O81*1000000000/(V81*1000000))+10*LOG10(R81)-20*LOG(Q81/10)</f>
        <v>-184.64631508657021</v>
      </c>
    </row>
    <row r="82" spans="1:26" ht="75" customHeight="1" x14ac:dyDescent="0.2">
      <c r="A82" s="5" t="s">
        <v>311</v>
      </c>
      <c r="B82" s="6" t="s">
        <v>312</v>
      </c>
      <c r="C82" s="6" t="s">
        <v>313</v>
      </c>
      <c r="D82" s="6" t="s">
        <v>100</v>
      </c>
      <c r="E82" s="6">
        <v>2016</v>
      </c>
      <c r="F82" s="6" t="s">
        <v>40</v>
      </c>
      <c r="G82" s="6" t="s">
        <v>41</v>
      </c>
      <c r="H82" s="6" t="s">
        <v>32</v>
      </c>
      <c r="I82" s="6" t="s">
        <v>32</v>
      </c>
      <c r="J82" s="6" t="s">
        <v>63</v>
      </c>
      <c r="K82" s="6" t="s">
        <v>34</v>
      </c>
      <c r="L82" s="6">
        <v>1.2999999999999999E-2</v>
      </c>
      <c r="M82" s="1" t="s">
        <v>32</v>
      </c>
      <c r="N82" s="6" t="s">
        <v>47</v>
      </c>
      <c r="O82" s="6">
        <v>75.900000000000006</v>
      </c>
      <c r="P82" s="6" t="s">
        <v>71</v>
      </c>
      <c r="Q82" s="6">
        <v>7.38</v>
      </c>
      <c r="R82" s="6">
        <v>12</v>
      </c>
      <c r="S82" s="6" t="s">
        <v>32</v>
      </c>
      <c r="T82" s="6" t="s">
        <v>32</v>
      </c>
      <c r="U82" s="6" t="s">
        <v>32</v>
      </c>
      <c r="V82" s="6">
        <v>10</v>
      </c>
      <c r="W82" s="6">
        <v>-105.5</v>
      </c>
      <c r="X82" s="6">
        <f t="shared" si="14"/>
        <v>-105.5</v>
      </c>
      <c r="Y82" s="8">
        <f>W82-20*LOG10(O82*1000000000/(V82*1000000))+10*LOG10(R82)</f>
        <v>-172.31302305743336</v>
      </c>
      <c r="Z82" s="8">
        <f>W82-20*LOG10(O82*1000000000/(V82*1000000))+10*LOG10(R82)-20*LOG(Q82/10)</f>
        <v>-169.67415029389417</v>
      </c>
    </row>
    <row r="83" spans="1:26" ht="75" customHeight="1" x14ac:dyDescent="0.2">
      <c r="A83" s="5" t="s">
        <v>318</v>
      </c>
      <c r="B83" s="6" t="s">
        <v>319</v>
      </c>
      <c r="C83" s="6" t="s">
        <v>320</v>
      </c>
      <c r="D83" s="6" t="s">
        <v>148</v>
      </c>
      <c r="E83" s="6">
        <v>2016</v>
      </c>
      <c r="F83" s="6" t="s">
        <v>30</v>
      </c>
      <c r="G83" s="6" t="s">
        <v>41</v>
      </c>
      <c r="H83" s="6" t="s">
        <v>32</v>
      </c>
      <c r="I83" s="6" t="s">
        <v>32</v>
      </c>
      <c r="J83" s="6" t="s">
        <v>63</v>
      </c>
      <c r="K83" s="6" t="s">
        <v>34</v>
      </c>
      <c r="L83" s="6">
        <v>4.2000000000000003E-2</v>
      </c>
      <c r="M83" s="6">
        <f>0.3*0.67</f>
        <v>0.20100000000000001</v>
      </c>
      <c r="N83" s="6" t="s">
        <v>35</v>
      </c>
      <c r="O83" s="6">
        <v>57.65</v>
      </c>
      <c r="P83" s="6" t="s">
        <v>36</v>
      </c>
      <c r="Q83" s="6">
        <v>16.8</v>
      </c>
      <c r="R83" s="6">
        <v>7.6</v>
      </c>
      <c r="S83" s="6" t="s">
        <v>32</v>
      </c>
      <c r="T83" s="6">
        <v>-28</v>
      </c>
      <c r="U83" s="7" t="e">
        <f>10^(T83/10)/S83</f>
        <v>#VALUE!</v>
      </c>
      <c r="V83" s="6">
        <v>10</v>
      </c>
      <c r="W83" s="6">
        <v>-124.75</v>
      </c>
      <c r="X83" s="6">
        <f t="shared" si="14"/>
        <v>-124.75</v>
      </c>
      <c r="Y83" s="8">
        <f>W83-20*LOG10(O83*1000000000/(V83*1000000))+10*LOG10(R83)</f>
        <v>-191.15785030980643</v>
      </c>
      <c r="Z83" s="8">
        <f>W83-20*LOG10(O83*1000000000/(V83*1000000))+10*LOG10(R83)-20*LOG(Q83/10)</f>
        <v>-195.6640359443237</v>
      </c>
    </row>
    <row r="84" spans="1:26" ht="75" customHeight="1" x14ac:dyDescent="0.2">
      <c r="A84" s="5" t="s">
        <v>321</v>
      </c>
      <c r="B84" s="6" t="s">
        <v>322</v>
      </c>
      <c r="C84" s="6" t="s">
        <v>323</v>
      </c>
      <c r="D84" s="1" t="s">
        <v>324</v>
      </c>
      <c r="E84" s="6">
        <v>2016</v>
      </c>
      <c r="F84" s="6" t="s">
        <v>30</v>
      </c>
      <c r="G84" s="6" t="s">
        <v>41</v>
      </c>
      <c r="H84" s="6">
        <v>200</v>
      </c>
      <c r="I84" s="6">
        <v>250</v>
      </c>
      <c r="J84" s="6" t="s">
        <v>63</v>
      </c>
      <c r="K84" s="6" t="s">
        <v>34</v>
      </c>
      <c r="L84" s="6">
        <v>0.34</v>
      </c>
      <c r="M84" s="6">
        <v>3.15</v>
      </c>
      <c r="N84" s="6" t="s">
        <v>47</v>
      </c>
      <c r="O84" s="6">
        <v>19.760000000000002</v>
      </c>
      <c r="P84" s="6" t="s">
        <v>36</v>
      </c>
      <c r="Q84" s="6">
        <v>9.8000000000000007</v>
      </c>
      <c r="R84" s="6">
        <v>58</v>
      </c>
      <c r="S84" s="6">
        <v>80</v>
      </c>
      <c r="T84" s="6" t="s">
        <v>32</v>
      </c>
      <c r="U84" s="6" t="s">
        <v>32</v>
      </c>
      <c r="V84" s="6">
        <v>10</v>
      </c>
      <c r="W84" s="6">
        <v>-140</v>
      </c>
      <c r="X84" s="6">
        <f t="shared" si="14"/>
        <v>-140</v>
      </c>
      <c r="Y84" s="8">
        <v>-180.8</v>
      </c>
      <c r="Z84" s="8">
        <f>Y84-20*LOG(Q84/10)</f>
        <v>-180.62452151384991</v>
      </c>
    </row>
    <row r="85" spans="1:26" ht="75" customHeight="1" x14ac:dyDescent="0.2">
      <c r="A85" s="5" t="s">
        <v>325</v>
      </c>
      <c r="B85" s="6" t="s">
        <v>326</v>
      </c>
      <c r="C85" s="6" t="s">
        <v>327</v>
      </c>
      <c r="D85" s="6" t="s">
        <v>196</v>
      </c>
      <c r="E85" s="6">
        <v>2015</v>
      </c>
      <c r="F85" s="6" t="s">
        <v>40</v>
      </c>
      <c r="G85" s="6" t="s">
        <v>41</v>
      </c>
      <c r="H85" s="6">
        <v>160</v>
      </c>
      <c r="I85" s="6">
        <v>250</v>
      </c>
      <c r="J85" s="6" t="s">
        <v>33</v>
      </c>
      <c r="K85" s="6" t="s">
        <v>34</v>
      </c>
      <c r="L85" s="6">
        <v>0.03</v>
      </c>
      <c r="M85" s="6">
        <v>0.18</v>
      </c>
      <c r="N85" s="6" t="s">
        <v>35</v>
      </c>
      <c r="O85" s="6">
        <v>239</v>
      </c>
      <c r="P85" s="6" t="s">
        <v>36</v>
      </c>
      <c r="Q85" s="6">
        <v>12.5</v>
      </c>
      <c r="R85" s="6">
        <v>18.5</v>
      </c>
      <c r="S85" s="6">
        <v>18.5</v>
      </c>
      <c r="T85" s="6">
        <v>-4.8</v>
      </c>
      <c r="U85" s="7">
        <f t="shared" ref="U85:U94" si="15">10^(T85/10)/S85</f>
        <v>1.7898979539599517E-2</v>
      </c>
      <c r="V85" s="6">
        <v>10</v>
      </c>
      <c r="W85" s="6">
        <v>-110.9</v>
      </c>
      <c r="X85" s="6">
        <f t="shared" si="14"/>
        <v>-110.9</v>
      </c>
      <c r="Y85" s="8">
        <f t="shared" ref="Y85:Y94" si="16">W85-20*LOG10(O85*1000000000/(V85*1000000))+10*LOG10(R85)</f>
        <v>-185.79624073493261</v>
      </c>
      <c r="Z85" s="8">
        <f t="shared" ref="Z85:Z94" si="17">W85-20*LOG10(O85*1000000000/(V85*1000000))+10*LOG10(R85)-20*LOG(Q85/10)</f>
        <v>-187.73444099509373</v>
      </c>
    </row>
    <row r="86" spans="1:26" ht="75" customHeight="1" x14ac:dyDescent="0.2">
      <c r="A86" s="5" t="s">
        <v>328</v>
      </c>
      <c r="B86" s="6" t="s">
        <v>329</v>
      </c>
      <c r="C86" s="6" t="s">
        <v>330</v>
      </c>
      <c r="D86" s="6" t="s">
        <v>331</v>
      </c>
      <c r="E86" s="6">
        <v>2015</v>
      </c>
      <c r="F86" s="6" t="s">
        <v>40</v>
      </c>
      <c r="G86" s="6" t="s">
        <v>41</v>
      </c>
      <c r="H86" s="6">
        <v>160</v>
      </c>
      <c r="I86" s="6">
        <v>230</v>
      </c>
      <c r="J86" s="6" t="s">
        <v>33</v>
      </c>
      <c r="K86" s="6" t="s">
        <v>34</v>
      </c>
      <c r="L86" s="6">
        <f>0.09*0.075</f>
        <v>6.7499999999999999E-3</v>
      </c>
      <c r="M86" s="6">
        <f>0.25*0.25</f>
        <v>6.25E-2</v>
      </c>
      <c r="N86" s="6" t="s">
        <v>35</v>
      </c>
      <c r="O86" s="6">
        <f>AVERAGE(206.2,220)</f>
        <v>213.1</v>
      </c>
      <c r="P86" s="6" t="s">
        <v>36</v>
      </c>
      <c r="Q86" s="6">
        <v>6.6</v>
      </c>
      <c r="R86" s="6">
        <v>54</v>
      </c>
      <c r="S86" s="6">
        <v>54</v>
      </c>
      <c r="T86" s="6">
        <v>1.3</v>
      </c>
      <c r="U86" s="7">
        <f t="shared" si="15"/>
        <v>2.4980794122067662E-2</v>
      </c>
      <c r="V86" s="6">
        <v>1</v>
      </c>
      <c r="W86" s="6">
        <v>-66</v>
      </c>
      <c r="X86" s="6">
        <f t="shared" si="14"/>
        <v>-86</v>
      </c>
      <c r="Y86" s="8">
        <f t="shared" si="16"/>
        <v>-155.24773139605435</v>
      </c>
      <c r="Z86" s="8">
        <f t="shared" si="17"/>
        <v>-151.63861010689172</v>
      </c>
    </row>
    <row r="87" spans="1:26" ht="75" customHeight="1" x14ac:dyDescent="0.2">
      <c r="A87" s="5" t="s">
        <v>332</v>
      </c>
      <c r="B87" s="6" t="s">
        <v>333</v>
      </c>
      <c r="C87" s="6" t="s">
        <v>334</v>
      </c>
      <c r="D87" s="6" t="s">
        <v>100</v>
      </c>
      <c r="E87" s="6">
        <v>2015</v>
      </c>
      <c r="F87" s="6" t="s">
        <v>40</v>
      </c>
      <c r="G87" s="6" t="s">
        <v>41</v>
      </c>
      <c r="H87" s="6">
        <v>160</v>
      </c>
      <c r="I87" s="6">
        <v>250</v>
      </c>
      <c r="J87" s="6" t="s">
        <v>63</v>
      </c>
      <c r="K87" s="6" t="s">
        <v>34</v>
      </c>
      <c r="L87" s="6">
        <v>4.6199999999999998E-2</v>
      </c>
      <c r="M87" s="6">
        <v>0.35</v>
      </c>
      <c r="N87" s="6" t="s">
        <v>35</v>
      </c>
      <c r="O87" s="6">
        <v>162.5</v>
      </c>
      <c r="P87" s="6" t="s">
        <v>36</v>
      </c>
      <c r="Q87" s="6">
        <v>14</v>
      </c>
      <c r="R87" s="6">
        <v>33</v>
      </c>
      <c r="S87" s="6">
        <v>36</v>
      </c>
      <c r="T87" s="6">
        <v>-14.5</v>
      </c>
      <c r="U87" s="7">
        <f t="shared" si="15"/>
        <v>9.8559274787104242E-4</v>
      </c>
      <c r="V87" s="6">
        <v>1</v>
      </c>
      <c r="W87" s="6">
        <v>-91.3</v>
      </c>
      <c r="X87" s="6">
        <f t="shared" si="14"/>
        <v>-111.3</v>
      </c>
      <c r="Y87" s="8">
        <f t="shared" si="16"/>
        <v>-180.33192790751897</v>
      </c>
      <c r="Z87" s="8">
        <f t="shared" si="17"/>
        <v>-183.25448862108374</v>
      </c>
    </row>
    <row r="88" spans="1:26" ht="75" customHeight="1" x14ac:dyDescent="0.2">
      <c r="A88" s="5" t="s">
        <v>335</v>
      </c>
      <c r="B88" s="6" t="s">
        <v>336</v>
      </c>
      <c r="C88" s="6" t="s">
        <v>337</v>
      </c>
      <c r="D88" s="6" t="s">
        <v>338</v>
      </c>
      <c r="E88" s="6">
        <v>2015</v>
      </c>
      <c r="F88" s="6" t="s">
        <v>30</v>
      </c>
      <c r="G88" s="6" t="s">
        <v>31</v>
      </c>
      <c r="H88" s="6">
        <v>250</v>
      </c>
      <c r="I88" s="6">
        <v>300</v>
      </c>
      <c r="J88" s="6" t="s">
        <v>33</v>
      </c>
      <c r="K88" s="6" t="s">
        <v>34</v>
      </c>
      <c r="L88" s="6">
        <v>9.4000000000000004E-3</v>
      </c>
      <c r="M88" s="6">
        <f>0.37*0.28</f>
        <v>0.10360000000000001</v>
      </c>
      <c r="N88" s="6" t="s">
        <v>47</v>
      </c>
      <c r="O88" s="6">
        <v>153</v>
      </c>
      <c r="P88" s="6" t="s">
        <v>36</v>
      </c>
      <c r="Q88" s="6">
        <v>7.8</v>
      </c>
      <c r="R88" s="6">
        <v>132</v>
      </c>
      <c r="S88" s="6">
        <v>132</v>
      </c>
      <c r="T88" s="6">
        <v>9</v>
      </c>
      <c r="U88" s="7">
        <f t="shared" si="15"/>
        <v>6.0176381418506196E-2</v>
      </c>
      <c r="V88" s="6">
        <v>10</v>
      </c>
      <c r="W88" s="6">
        <v>-116</v>
      </c>
      <c r="X88" s="6">
        <f t="shared" si="14"/>
        <v>-116</v>
      </c>
      <c r="Y88" s="8">
        <f t="shared" si="16"/>
        <v>-178.48808930429345</v>
      </c>
      <c r="Z88" s="8">
        <f t="shared" si="17"/>
        <v>-176.32998135810305</v>
      </c>
    </row>
    <row r="89" spans="1:26" ht="75" customHeight="1" x14ac:dyDescent="0.2">
      <c r="A89" s="5" t="s">
        <v>339</v>
      </c>
      <c r="B89" s="6" t="s">
        <v>340</v>
      </c>
      <c r="C89" s="6" t="s">
        <v>341</v>
      </c>
      <c r="D89" s="6" t="s">
        <v>342</v>
      </c>
      <c r="E89" s="6">
        <v>2015</v>
      </c>
      <c r="F89" s="6" t="s">
        <v>40</v>
      </c>
      <c r="G89" s="6" t="s">
        <v>41</v>
      </c>
      <c r="H89" s="6">
        <v>160</v>
      </c>
      <c r="I89" s="6">
        <v>250</v>
      </c>
      <c r="J89" s="6" t="s">
        <v>63</v>
      </c>
      <c r="K89" s="6" t="s">
        <v>34</v>
      </c>
      <c r="L89" s="6">
        <f>0.3*0.25</f>
        <v>7.4999999999999997E-2</v>
      </c>
      <c r="M89" s="6" t="s">
        <v>32</v>
      </c>
      <c r="N89" s="6" t="s">
        <v>35</v>
      </c>
      <c r="O89" s="6">
        <v>145</v>
      </c>
      <c r="P89" s="6" t="s">
        <v>36</v>
      </c>
      <c r="Q89" s="6">
        <v>20</v>
      </c>
      <c r="R89" s="6">
        <v>95</v>
      </c>
      <c r="S89" s="6">
        <v>95</v>
      </c>
      <c r="T89" s="6">
        <v>-8</v>
      </c>
      <c r="U89" s="7">
        <f t="shared" si="15"/>
        <v>1.6683086236432771E-3</v>
      </c>
      <c r="V89" s="6">
        <v>10</v>
      </c>
      <c r="W89" s="6">
        <v>-115.5</v>
      </c>
      <c r="X89" s="6">
        <f t="shared" si="14"/>
        <v>-115.5</v>
      </c>
      <c r="Y89" s="8">
        <f t="shared" si="16"/>
        <v>-178.95012399181104</v>
      </c>
      <c r="Z89" s="8">
        <f t="shared" si="17"/>
        <v>-184.97072390509067</v>
      </c>
    </row>
    <row r="90" spans="1:26" ht="75" customHeight="1" x14ac:dyDescent="0.2">
      <c r="A90" s="5" t="s">
        <v>343</v>
      </c>
      <c r="B90" s="6" t="s">
        <v>344</v>
      </c>
      <c r="C90" s="6" t="s">
        <v>345</v>
      </c>
      <c r="D90" s="6" t="s">
        <v>244</v>
      </c>
      <c r="E90" s="6">
        <v>2015</v>
      </c>
      <c r="F90" s="6" t="s">
        <v>180</v>
      </c>
      <c r="G90" s="6" t="s">
        <v>41</v>
      </c>
      <c r="H90" s="6">
        <v>62</v>
      </c>
      <c r="I90" s="6">
        <v>76</v>
      </c>
      <c r="J90" s="6" t="s">
        <v>63</v>
      </c>
      <c r="K90" s="6" t="s">
        <v>34</v>
      </c>
      <c r="L90" s="6">
        <v>0.16800000000000001</v>
      </c>
      <c r="M90" s="6">
        <f>0.775*0.484</f>
        <v>0.37509999999999999</v>
      </c>
      <c r="N90" s="6" t="s">
        <v>35</v>
      </c>
      <c r="O90" s="6">
        <f>AVERAGE(67.18,74.84)</f>
        <v>71.010000000000005</v>
      </c>
      <c r="P90" s="6" t="s">
        <v>36</v>
      </c>
      <c r="Q90" s="6">
        <v>10.79</v>
      </c>
      <c r="R90" s="6">
        <v>24.3</v>
      </c>
      <c r="S90" s="6">
        <v>33.299999999999997</v>
      </c>
      <c r="T90" s="6">
        <v>-15</v>
      </c>
      <c r="U90" s="7">
        <f t="shared" si="15"/>
        <v>9.4963293098149508E-4</v>
      </c>
      <c r="V90" s="6">
        <v>1</v>
      </c>
      <c r="W90" s="6">
        <v>-74.83</v>
      </c>
      <c r="X90" s="6">
        <f t="shared" si="14"/>
        <v>-94.83</v>
      </c>
      <c r="Y90" s="8">
        <f t="shared" si="16"/>
        <v>-158.00032751699177</v>
      </c>
      <c r="Z90" s="8">
        <f t="shared" si="17"/>
        <v>-158.66075641064998</v>
      </c>
    </row>
    <row r="91" spans="1:26" ht="75" customHeight="1" x14ac:dyDescent="0.2">
      <c r="A91" s="5" t="s">
        <v>346</v>
      </c>
      <c r="B91" s="1" t="s">
        <v>347</v>
      </c>
      <c r="C91" s="1" t="s">
        <v>348</v>
      </c>
      <c r="D91" s="1" t="s">
        <v>55</v>
      </c>
      <c r="E91" s="1">
        <v>2015</v>
      </c>
      <c r="F91" s="6" t="s">
        <v>40</v>
      </c>
      <c r="G91" s="6" t="s">
        <v>41</v>
      </c>
      <c r="H91" s="6" t="s">
        <v>32</v>
      </c>
      <c r="I91" s="6" t="s">
        <v>32</v>
      </c>
      <c r="J91" s="1" t="s">
        <v>63</v>
      </c>
      <c r="K91" s="1" t="s">
        <v>34</v>
      </c>
      <c r="L91" s="6">
        <v>1.6E-2</v>
      </c>
      <c r="M91" s="1">
        <f>0.36*0.37</f>
        <v>0.13319999999999999</v>
      </c>
      <c r="N91" s="6" t="s">
        <v>47</v>
      </c>
      <c r="O91" s="1">
        <v>64</v>
      </c>
      <c r="P91" s="1" t="s">
        <v>36</v>
      </c>
      <c r="Q91" s="1">
        <v>7</v>
      </c>
      <c r="R91" s="1">
        <v>5</v>
      </c>
      <c r="S91" s="1">
        <v>12.5</v>
      </c>
      <c r="T91" s="1">
        <v>-17</v>
      </c>
      <c r="U91" s="7">
        <f t="shared" si="15"/>
        <v>1.5962098519751034E-3</v>
      </c>
      <c r="V91" s="1">
        <v>10</v>
      </c>
      <c r="W91" s="1">
        <v>-113.7</v>
      </c>
      <c r="X91" s="6">
        <f t="shared" si="14"/>
        <v>-113.7</v>
      </c>
      <c r="Y91" s="8">
        <f t="shared" si="16"/>
        <v>-182.83389943631755</v>
      </c>
      <c r="Z91" s="8">
        <f t="shared" si="17"/>
        <v>-179.73586023660269</v>
      </c>
    </row>
    <row r="92" spans="1:26" ht="75" customHeight="1" x14ac:dyDescent="0.2">
      <c r="A92" s="5" t="s">
        <v>349</v>
      </c>
      <c r="B92" s="1" t="s">
        <v>350</v>
      </c>
      <c r="C92" s="1" t="s">
        <v>351</v>
      </c>
      <c r="D92" s="1" t="s">
        <v>100</v>
      </c>
      <c r="E92" s="1">
        <v>2015</v>
      </c>
      <c r="F92" s="6" t="s">
        <v>40</v>
      </c>
      <c r="G92" s="6" t="s">
        <v>41</v>
      </c>
      <c r="H92" s="1" t="s">
        <v>32</v>
      </c>
      <c r="I92" s="1" t="s">
        <v>32</v>
      </c>
      <c r="J92" s="1" t="s">
        <v>63</v>
      </c>
      <c r="K92" s="1" t="s">
        <v>34</v>
      </c>
      <c r="L92" s="1">
        <v>7.4999999999999997E-3</v>
      </c>
      <c r="M92" s="1">
        <v>0.02</v>
      </c>
      <c r="N92" s="6" t="s">
        <v>47</v>
      </c>
      <c r="O92" s="1">
        <v>62.8</v>
      </c>
      <c r="P92" s="1" t="s">
        <v>71</v>
      </c>
      <c r="Q92" s="1">
        <v>26.4</v>
      </c>
      <c r="R92" s="1">
        <v>21.5</v>
      </c>
      <c r="S92" s="1">
        <v>21.5</v>
      </c>
      <c r="T92" s="1">
        <v>-10</v>
      </c>
      <c r="U92" s="7">
        <f t="shared" si="15"/>
        <v>4.6511627906976744E-3</v>
      </c>
      <c r="V92" s="1">
        <v>10</v>
      </c>
      <c r="W92" s="1">
        <v>-114.95</v>
      </c>
      <c r="X92" s="6">
        <f t="shared" si="14"/>
        <v>-114.95</v>
      </c>
      <c r="Y92" s="8">
        <f t="shared" si="16"/>
        <v>-177.58480827558787</v>
      </c>
      <c r="Z92" s="8">
        <f t="shared" si="17"/>
        <v>-186.0168868129845</v>
      </c>
    </row>
    <row r="93" spans="1:26" ht="75" customHeight="1" x14ac:dyDescent="0.2">
      <c r="A93" s="5" t="s">
        <v>352</v>
      </c>
      <c r="B93" s="6" t="s">
        <v>353</v>
      </c>
      <c r="C93" s="6" t="s">
        <v>354</v>
      </c>
      <c r="D93" s="6" t="s">
        <v>179</v>
      </c>
      <c r="E93" s="6">
        <v>2015</v>
      </c>
      <c r="F93" s="6" t="s">
        <v>76</v>
      </c>
      <c r="G93" s="6" t="s">
        <v>41</v>
      </c>
      <c r="H93" s="6">
        <v>150</v>
      </c>
      <c r="I93" s="6">
        <v>200</v>
      </c>
      <c r="J93" s="6" t="s">
        <v>63</v>
      </c>
      <c r="K93" s="6" t="s">
        <v>34</v>
      </c>
      <c r="L93" s="6">
        <v>0.13300000000000001</v>
      </c>
      <c r="M93" s="6">
        <f>0.68*0.502</f>
        <v>0.34136000000000005</v>
      </c>
      <c r="N93" s="6" t="s">
        <v>47</v>
      </c>
      <c r="O93" s="6">
        <f>AVERAGE(58.76,63.94)</f>
        <v>61.349999999999994</v>
      </c>
      <c r="P93" s="6" t="s">
        <v>36</v>
      </c>
      <c r="Q93" s="6">
        <v>8.44</v>
      </c>
      <c r="R93" s="6">
        <v>7.2</v>
      </c>
      <c r="S93" s="6">
        <v>15.6</v>
      </c>
      <c r="T93" s="6">
        <v>-2.4500000000000002</v>
      </c>
      <c r="U93" s="7">
        <f t="shared" si="15"/>
        <v>3.6464931464348808E-2</v>
      </c>
      <c r="V93" s="6">
        <v>1</v>
      </c>
      <c r="W93" s="6">
        <v>-91.53</v>
      </c>
      <c r="X93" s="6">
        <f t="shared" si="14"/>
        <v>-111.53</v>
      </c>
      <c r="Y93" s="8">
        <f t="shared" si="16"/>
        <v>-178.71296637694778</v>
      </c>
      <c r="Z93" s="8">
        <f t="shared" si="17"/>
        <v>-177.23981530946088</v>
      </c>
    </row>
    <row r="94" spans="1:26" ht="75" customHeight="1" x14ac:dyDescent="0.2">
      <c r="A94" s="5" t="s">
        <v>355</v>
      </c>
      <c r="B94" s="6" t="s">
        <v>356</v>
      </c>
      <c r="C94" s="6" t="s">
        <v>357</v>
      </c>
      <c r="D94" s="6" t="s">
        <v>358</v>
      </c>
      <c r="E94" s="6">
        <v>2015</v>
      </c>
      <c r="F94" s="6" t="s">
        <v>180</v>
      </c>
      <c r="G94" s="6" t="s">
        <v>31</v>
      </c>
      <c r="H94" s="6">
        <v>170</v>
      </c>
      <c r="I94" s="6" t="s">
        <v>32</v>
      </c>
      <c r="J94" s="6" t="s">
        <v>63</v>
      </c>
      <c r="K94" s="6" t="s">
        <v>42</v>
      </c>
      <c r="L94" s="6">
        <v>0.09</v>
      </c>
      <c r="M94" s="1">
        <f>0.69*0.503</f>
        <v>0.34706999999999999</v>
      </c>
      <c r="N94" s="6" t="s">
        <v>35</v>
      </c>
      <c r="O94" s="6">
        <f>(55.7+66)/2</f>
        <v>60.85</v>
      </c>
      <c r="P94" s="6" t="s">
        <v>71</v>
      </c>
      <c r="Q94" s="9">
        <v>17.2</v>
      </c>
      <c r="R94" s="6">
        <v>11.2</v>
      </c>
      <c r="S94" s="6">
        <v>14.8</v>
      </c>
      <c r="T94" s="6">
        <v>-28.8</v>
      </c>
      <c r="U94" s="7">
        <f t="shared" si="15"/>
        <v>8.907140125381128E-5</v>
      </c>
      <c r="V94" s="6">
        <v>1</v>
      </c>
      <c r="W94" s="6">
        <v>-93.5</v>
      </c>
      <c r="X94" s="6">
        <f t="shared" si="14"/>
        <v>-113.5</v>
      </c>
      <c r="Y94" s="8">
        <f t="shared" si="16"/>
        <v>-178.69303142461987</v>
      </c>
      <c r="Z94" s="8">
        <f t="shared" si="17"/>
        <v>-183.40360036277085</v>
      </c>
    </row>
    <row r="95" spans="1:26" ht="75" customHeight="1" x14ac:dyDescent="0.2">
      <c r="A95" s="5" t="s">
        <v>359</v>
      </c>
      <c r="B95" s="6" t="s">
        <v>360</v>
      </c>
      <c r="C95" s="6" t="s">
        <v>361</v>
      </c>
      <c r="D95" s="6" t="s">
        <v>51</v>
      </c>
      <c r="E95" s="6">
        <v>2015</v>
      </c>
      <c r="F95" s="6" t="s">
        <v>30</v>
      </c>
      <c r="G95" s="6" t="s">
        <v>41</v>
      </c>
      <c r="H95" s="6" t="s">
        <v>32</v>
      </c>
      <c r="I95" s="6" t="s">
        <v>32</v>
      </c>
      <c r="J95" s="6" t="s">
        <v>63</v>
      </c>
      <c r="K95" s="6" t="s">
        <v>34</v>
      </c>
      <c r="L95" s="6">
        <v>4.2000000000000003E-2</v>
      </c>
      <c r="M95" s="6">
        <f>0.3*0.67</f>
        <v>0.20100000000000001</v>
      </c>
      <c r="N95" s="6" t="s">
        <v>35</v>
      </c>
      <c r="O95" s="6">
        <v>57.7</v>
      </c>
      <c r="P95" s="6" t="s">
        <v>36</v>
      </c>
      <c r="Q95" s="6">
        <v>16.8</v>
      </c>
      <c r="R95" s="6">
        <v>7.6</v>
      </c>
      <c r="S95" s="6" t="s">
        <v>32</v>
      </c>
      <c r="T95" s="6">
        <v>-28</v>
      </c>
      <c r="U95" s="6" t="s">
        <v>32</v>
      </c>
      <c r="V95" s="6">
        <v>10</v>
      </c>
      <c r="W95" s="6">
        <v>-124.75</v>
      </c>
      <c r="X95" s="6">
        <f t="shared" si="14"/>
        <v>-124.75</v>
      </c>
      <c r="Y95" s="8">
        <v>-186.3</v>
      </c>
      <c r="Z95" s="8">
        <f>-190.85</f>
        <v>-190.85</v>
      </c>
    </row>
    <row r="96" spans="1:26" ht="75" customHeight="1" x14ac:dyDescent="0.2">
      <c r="A96" s="5" t="s">
        <v>362</v>
      </c>
      <c r="B96" s="1" t="s">
        <v>363</v>
      </c>
      <c r="C96" s="1" t="s">
        <v>364</v>
      </c>
      <c r="D96" s="1" t="s">
        <v>100</v>
      </c>
      <c r="E96" s="1">
        <v>2014</v>
      </c>
      <c r="F96" s="6" t="s">
        <v>40</v>
      </c>
      <c r="G96" s="6" t="s">
        <v>41</v>
      </c>
      <c r="H96" s="1" t="s">
        <v>32</v>
      </c>
      <c r="I96" s="1" t="s">
        <v>32</v>
      </c>
      <c r="J96" s="1" t="s">
        <v>63</v>
      </c>
      <c r="K96" s="1" t="s">
        <v>42</v>
      </c>
      <c r="L96" s="6">
        <v>6.2E-2</v>
      </c>
      <c r="M96" s="1">
        <v>0.23</v>
      </c>
      <c r="N96" s="6" t="s">
        <v>47</v>
      </c>
      <c r="O96" s="1">
        <v>105</v>
      </c>
      <c r="P96" s="1" t="s">
        <v>36</v>
      </c>
      <c r="Q96" s="1">
        <v>9.5</v>
      </c>
      <c r="R96" s="1">
        <v>54</v>
      </c>
      <c r="S96" s="1" t="s">
        <v>32</v>
      </c>
      <c r="T96" s="1">
        <v>4.5</v>
      </c>
      <c r="U96" s="1" t="s">
        <v>32</v>
      </c>
      <c r="V96" s="1">
        <v>1</v>
      </c>
      <c r="W96" s="1">
        <v>-92.83</v>
      </c>
      <c r="X96" s="6">
        <f t="shared" si="14"/>
        <v>-112.83</v>
      </c>
      <c r="Y96" s="8">
        <f>W96-20*LOG10(O96*1000000000/(V96*1000000))+10*LOG10(R96)</f>
        <v>-175.92984838316909</v>
      </c>
      <c r="Z96" s="8">
        <f>W96-20*LOG10(O96*1000000000/(V96*1000000))+10*LOG10(R96)-20*LOG(Q96/10)</f>
        <v>-175.48432048894605</v>
      </c>
    </row>
    <row r="97" spans="1:26" ht="75" customHeight="1" x14ac:dyDescent="0.2">
      <c r="A97" s="6" t="s">
        <v>365</v>
      </c>
      <c r="B97" s="6" t="s">
        <v>366</v>
      </c>
      <c r="C97" s="6" t="s">
        <v>367</v>
      </c>
      <c r="D97" s="6" t="s">
        <v>46</v>
      </c>
      <c r="E97" s="6">
        <v>2023</v>
      </c>
      <c r="F97" s="6" t="s">
        <v>112</v>
      </c>
      <c r="G97" s="6" t="s">
        <v>41</v>
      </c>
      <c r="H97" s="1" t="s">
        <v>32</v>
      </c>
      <c r="I97" s="1" t="s">
        <v>32</v>
      </c>
      <c r="J97" s="1" t="s">
        <v>63</v>
      </c>
      <c r="K97" s="1" t="s">
        <v>42</v>
      </c>
      <c r="L97" s="6">
        <v>4.8000000000000001E-2</v>
      </c>
      <c r="M97" s="6">
        <v>0.82699999999999996</v>
      </c>
      <c r="N97" s="6" t="s">
        <v>47</v>
      </c>
      <c r="O97" s="6">
        <v>38.5</v>
      </c>
      <c r="P97" s="6" t="s">
        <v>71</v>
      </c>
      <c r="Q97" s="6">
        <v>39</v>
      </c>
      <c r="R97" s="1">
        <v>6.8</v>
      </c>
      <c r="S97" s="1">
        <v>6.8</v>
      </c>
      <c r="T97" s="6" t="s">
        <v>32</v>
      </c>
      <c r="U97" s="6" t="s">
        <v>32</v>
      </c>
      <c r="V97" s="6">
        <v>10</v>
      </c>
      <c r="W97" s="6">
        <v>-116</v>
      </c>
      <c r="X97" s="6">
        <f t="shared" si="14"/>
        <v>-116</v>
      </c>
      <c r="Y97" s="8">
        <f>W97-20*LOG10(O97*1000000000/(V97*1000000))+10*LOG10(R97)</f>
        <v>-179.38412546310764</v>
      </c>
      <c r="Z97" s="8">
        <f>W97-20*LOG10(O97*1000000000/(V97*1000000))+10*LOG10(R97)-20*LOG(Q97/10)</f>
        <v>-191.20541760363761</v>
      </c>
    </row>
    <row r="98" spans="1:26" ht="75" customHeight="1" x14ac:dyDescent="0.2">
      <c r="A98" s="6" t="s">
        <v>368</v>
      </c>
      <c r="B98" s="6" t="s">
        <v>369</v>
      </c>
      <c r="C98" s="6" t="s">
        <v>370</v>
      </c>
      <c r="D98" s="6" t="s">
        <v>179</v>
      </c>
      <c r="E98" s="6">
        <v>2019</v>
      </c>
      <c r="F98" s="6" t="s">
        <v>40</v>
      </c>
      <c r="G98" s="6" t="s">
        <v>41</v>
      </c>
      <c r="H98" s="1" t="s">
        <v>32</v>
      </c>
      <c r="I98" s="1" t="s">
        <v>32</v>
      </c>
      <c r="J98" s="6" t="s">
        <v>63</v>
      </c>
      <c r="K98" s="6" t="s">
        <v>42</v>
      </c>
      <c r="L98" s="6">
        <v>0.15</v>
      </c>
      <c r="M98" s="6">
        <v>0.41299999999999998</v>
      </c>
      <c r="N98" s="6" t="s">
        <v>47</v>
      </c>
      <c r="O98" s="6">
        <v>64.75</v>
      </c>
      <c r="P98" s="6" t="s">
        <v>71</v>
      </c>
      <c r="Q98" s="6">
        <v>7.9</v>
      </c>
      <c r="R98" s="1">
        <v>61.2</v>
      </c>
      <c r="S98" s="6">
        <v>61.2</v>
      </c>
      <c r="T98" s="6">
        <v>-11</v>
      </c>
      <c r="U98" s="7">
        <f t="shared" ref="U98:U99" si="18">10^(T98/10)/S98</f>
        <v>1.2979219521638578E-3</v>
      </c>
      <c r="V98" s="6">
        <v>10</v>
      </c>
      <c r="W98" s="6">
        <v>-122.6</v>
      </c>
      <c r="X98" s="6">
        <f t="shared" si="14"/>
        <v>-122.6</v>
      </c>
      <c r="Y98" s="8">
        <f>W98-20*LOG10(O98*1000000000/(V98*1000000))+10*LOG10(R98)</f>
        <v>-180.95728123361016</v>
      </c>
      <c r="Z98" s="8">
        <f>W98-20*LOG10(O98*1000000000/(V98*1000000))+10*LOG10(R98)-20*LOG(Q98/10)</f>
        <v>-178.90982305941898</v>
      </c>
    </row>
    <row r="99" spans="1:26" ht="75" customHeight="1" x14ac:dyDescent="0.2">
      <c r="A99" s="6" t="s">
        <v>371</v>
      </c>
      <c r="B99" s="6" t="s">
        <v>114</v>
      </c>
      <c r="C99" s="12" t="s">
        <v>372</v>
      </c>
      <c r="D99" s="6" t="s">
        <v>116</v>
      </c>
      <c r="E99" s="6">
        <v>2024</v>
      </c>
      <c r="F99" s="12" t="s">
        <v>117</v>
      </c>
      <c r="G99" s="12" t="s">
        <v>118</v>
      </c>
      <c r="H99" s="6">
        <v>350</v>
      </c>
      <c r="I99" s="6">
        <v>400</v>
      </c>
      <c r="J99" s="12" t="s">
        <v>63</v>
      </c>
      <c r="K99" s="6" t="s">
        <v>42</v>
      </c>
      <c r="L99" s="6">
        <v>3.125E-2</v>
      </c>
      <c r="M99" s="6">
        <v>0.3</v>
      </c>
      <c r="N99" s="12" t="s">
        <v>35</v>
      </c>
      <c r="O99" s="6">
        <v>40.700000000000003</v>
      </c>
      <c r="P99" s="12" t="s">
        <v>36</v>
      </c>
      <c r="Q99" s="6">
        <v>5.4</v>
      </c>
      <c r="R99" s="6">
        <v>19.7</v>
      </c>
      <c r="S99" s="6">
        <v>24.5</v>
      </c>
      <c r="T99" s="6">
        <v>-10</v>
      </c>
      <c r="U99" s="7">
        <f t="shared" si="18"/>
        <v>4.0816326530612249E-3</v>
      </c>
      <c r="V99" s="6">
        <v>10</v>
      </c>
      <c r="W99" s="6">
        <v>-120.35</v>
      </c>
      <c r="X99" s="6">
        <f t="shared" si="14"/>
        <v>-120.35</v>
      </c>
      <c r="Y99" s="8">
        <f>W99-20*LOG10(O99*1000000000/(V99*1000000))+10*LOG10(R99)</f>
        <v>-179.59722592288847</v>
      </c>
      <c r="Z99" s="8">
        <f>W99-20*LOG10(O99*1000000000/(V99*1000000))+10*LOG10(R99)-20*LOG(Q99/10)</f>
        <v>-174.24510111934785</v>
      </c>
    </row>
    <row r="100" spans="1:26" ht="75" customHeight="1" x14ac:dyDescent="0.2">
      <c r="A100" s="6" t="s">
        <v>373</v>
      </c>
      <c r="B100" s="6" t="s">
        <v>374</v>
      </c>
      <c r="C100" s="6" t="s">
        <v>375</v>
      </c>
      <c r="D100" s="12" t="s">
        <v>376</v>
      </c>
      <c r="E100" s="6">
        <v>2018</v>
      </c>
      <c r="F100" s="12" t="s">
        <v>104</v>
      </c>
      <c r="G100" s="12" t="s">
        <v>41</v>
      </c>
      <c r="H100" s="1" t="s">
        <v>32</v>
      </c>
      <c r="I100" s="1" t="s">
        <v>32</v>
      </c>
      <c r="J100" s="12" t="s">
        <v>63</v>
      </c>
      <c r="K100" s="6" t="s">
        <v>34</v>
      </c>
      <c r="L100" s="6">
        <v>2.7E-2</v>
      </c>
      <c r="M100" s="12" t="s">
        <v>32</v>
      </c>
      <c r="N100" s="12" t="s">
        <v>47</v>
      </c>
      <c r="O100" s="6">
        <v>36.299999999999997</v>
      </c>
      <c r="P100" s="12" t="s">
        <v>36</v>
      </c>
      <c r="Q100" s="6">
        <v>24.8</v>
      </c>
      <c r="R100" s="6">
        <v>20</v>
      </c>
      <c r="S100" s="6">
        <v>40.799999999999997</v>
      </c>
      <c r="T100" s="6">
        <v>-12</v>
      </c>
      <c r="U100" s="7">
        <f t="shared" ref="U100" si="19">10^(T100/10)/S100</f>
        <v>1.5464640796083167E-3</v>
      </c>
      <c r="V100" s="6">
        <v>10</v>
      </c>
      <c r="W100" s="6">
        <v>-115</v>
      </c>
      <c r="X100" s="6">
        <f t="shared" ref="X100" si="20">W100+20*LOG10(V100/10)</f>
        <v>-115</v>
      </c>
      <c r="Y100" s="8">
        <f>W100-20*LOG10(O100*1000000000/(V100*1000000))+10*LOG10(R100)</f>
        <v>-173.18783254408243</v>
      </c>
      <c r="Z100" s="8">
        <f>W100-20*LOG10(O100*1000000000/(V100*1000000))+10*LOG10(R100)-20*LOG(Q100/10)</f>
        <v>-181.07686616060676</v>
      </c>
    </row>
    <row r="101" spans="1:26" ht="75" customHeight="1" x14ac:dyDescent="0.2">
      <c r="A101" s="6" t="s">
        <v>377</v>
      </c>
      <c r="B101" s="6" t="s">
        <v>378</v>
      </c>
      <c r="C101" s="6" t="s">
        <v>379</v>
      </c>
      <c r="D101" s="6" t="s">
        <v>274</v>
      </c>
      <c r="E101" s="6">
        <v>2025</v>
      </c>
      <c r="F101" s="12" t="s">
        <v>117</v>
      </c>
      <c r="G101" s="12" t="s">
        <v>118</v>
      </c>
      <c r="H101" s="6">
        <v>350</v>
      </c>
      <c r="I101" s="6">
        <v>400</v>
      </c>
      <c r="J101" s="12" t="s">
        <v>63</v>
      </c>
      <c r="K101" s="12" t="s">
        <v>34</v>
      </c>
      <c r="L101" s="6">
        <v>1.7999999999999999E-2</v>
      </c>
      <c r="M101" s="6">
        <v>0.44500000000000001</v>
      </c>
      <c r="N101" s="12" t="s">
        <v>47</v>
      </c>
      <c r="O101" s="6">
        <v>28.8</v>
      </c>
      <c r="P101" s="12" t="s">
        <v>36</v>
      </c>
      <c r="Q101" s="6">
        <v>8.66</v>
      </c>
      <c r="R101" s="1">
        <v>31.2</v>
      </c>
      <c r="S101" s="6">
        <v>31.2</v>
      </c>
      <c r="T101" s="6">
        <v>-5.5</v>
      </c>
      <c r="U101" s="7">
        <f t="shared" ref="U101:U102" si="21">10^(T101/10)/S101</f>
        <v>9.0332786258476069E-3</v>
      </c>
      <c r="V101" s="6">
        <v>10</v>
      </c>
      <c r="W101" s="6">
        <v>-124.93</v>
      </c>
      <c r="X101" s="6">
        <f t="shared" ref="X101:X102" si="22">W101+20*LOG10(V101/10)</f>
        <v>-124.93</v>
      </c>
      <c r="Y101" s="8">
        <f>W101-20*LOG10(O101*1000000000/(V101*1000000))+10*LOG10(R101)</f>
        <v>-179.17630381500021</v>
      </c>
      <c r="Z101" s="8">
        <f>W101-20*LOG10(O101*1000000000/(V101*1000000))+10*LOG10(R101)-20*LOG(Q101/10)</f>
        <v>-177.92666165534715</v>
      </c>
    </row>
    <row r="102" spans="1:26" ht="75" customHeight="1" x14ac:dyDescent="0.2">
      <c r="A102" s="6" t="s">
        <v>380</v>
      </c>
      <c r="B102" s="6" t="s">
        <v>381</v>
      </c>
      <c r="C102" s="12" t="s">
        <v>382</v>
      </c>
      <c r="D102" s="6" t="s">
        <v>116</v>
      </c>
      <c r="E102" s="6">
        <v>2022</v>
      </c>
      <c r="F102" s="12" t="s">
        <v>40</v>
      </c>
      <c r="G102" s="12" t="s">
        <v>41</v>
      </c>
      <c r="H102" s="6">
        <v>170</v>
      </c>
      <c r="I102" s="6">
        <v>200</v>
      </c>
      <c r="J102" s="12" t="s">
        <v>63</v>
      </c>
      <c r="K102" s="12" t="s">
        <v>34</v>
      </c>
      <c r="L102" s="6">
        <v>0.254</v>
      </c>
      <c r="M102" s="12" t="s">
        <v>32</v>
      </c>
      <c r="N102" s="12" t="s">
        <v>47</v>
      </c>
      <c r="O102" s="6">
        <v>32.200000000000003</v>
      </c>
      <c r="P102" s="12" t="s">
        <v>71</v>
      </c>
      <c r="Q102" s="6">
        <v>14.3</v>
      </c>
      <c r="R102" s="6">
        <v>16.899999999999999</v>
      </c>
      <c r="S102" s="6">
        <v>35.880000000000003</v>
      </c>
      <c r="T102" s="6">
        <v>-5.165</v>
      </c>
      <c r="U102" s="7">
        <f t="shared" si="21"/>
        <v>8.4849163601520092E-3</v>
      </c>
      <c r="V102" s="6">
        <v>10</v>
      </c>
      <c r="W102" s="6">
        <v>-129.6</v>
      </c>
      <c r="X102" s="6">
        <f t="shared" si="22"/>
        <v>-129.6</v>
      </c>
      <c r="Y102" s="8">
        <f>W102-20*LOG10(O102*1000000000/(V102*1000000))+10*LOG10(R102)</f>
        <v>-187.47825038777989</v>
      </c>
      <c r="Z102" s="8">
        <f>W102-20*LOG10(O102*1000000000/(V102*1000000))+10*LOG10(R102)-20*LOG(Q102/10)</f>
        <v>-190.58497113708114</v>
      </c>
    </row>
    <row r="103" spans="1:26" ht="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6" ht="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6" ht="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6" ht="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6" ht="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6" ht="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6" ht="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6" ht="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6" ht="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6" ht="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75" customHeight="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75" customHeight="1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75" customHeight="1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 spans="1:24" ht="75" customHeight="1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 spans="1:24" ht="75" customHeight="1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 spans="1:24" ht="75" customHeight="1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 spans="1:24" ht="75" customHeight="1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 spans="1:24" ht="75" customHeight="1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 spans="1:24" ht="75" customHeight="1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 spans="1:24" ht="75" customHeight="1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 spans="1:24" ht="75" customHeight="1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 spans="1:24" ht="75" customHeight="1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 spans="1:24" ht="75" customHeight="1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 spans="1:24" ht="75" customHeight="1" x14ac:dyDescent="0.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 spans="1:24" ht="75" customHeight="1" x14ac:dyDescent="0.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 spans="1:24" ht="75" customHeight="1" x14ac:dyDescent="0.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 spans="1:24" ht="75" customHeight="1" x14ac:dyDescent="0.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 spans="1:24" ht="75" customHeight="1" x14ac:dyDescent="0.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 spans="1:24" ht="75" customHeight="1" x14ac:dyDescent="0.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 spans="1:24" ht="75" customHeight="1" x14ac:dyDescent="0.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 spans="1:24" ht="75" customHeight="1" x14ac:dyDescent="0.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 spans="1:24" ht="75" customHeight="1" x14ac:dyDescent="0.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 spans="1:24" ht="75" customHeight="1" x14ac:dyDescent="0.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 spans="1:24" ht="75" customHeight="1" x14ac:dyDescent="0.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 spans="1:24" ht="75" customHeight="1" x14ac:dyDescent="0.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  <row r="1026" spans="1:24" ht="75" customHeight="1" x14ac:dyDescent="0.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</row>
    <row r="1027" spans="1:24" ht="75" customHeight="1" x14ac:dyDescent="0.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</row>
    <row r="1028" spans="1:24" ht="75" customHeight="1" x14ac:dyDescent="0.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</row>
    <row r="1029" spans="1:24" ht="75" customHeight="1" x14ac:dyDescent="0.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</row>
    <row r="1030" spans="1:24" ht="75" customHeight="1" x14ac:dyDescent="0.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 spans="1:24" ht="75" customHeight="1" x14ac:dyDescent="0.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</row>
    <row r="1032" spans="1:24" ht="75" customHeight="1" x14ac:dyDescent="0.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</row>
    <row r="1033" spans="1:24" ht="75" customHeight="1" x14ac:dyDescent="0.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</row>
    <row r="1034" spans="1:24" ht="75" customHeight="1" x14ac:dyDescent="0.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</row>
    <row r="1035" spans="1:24" ht="75" customHeight="1" x14ac:dyDescent="0.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</row>
    <row r="1036" spans="1:24" ht="75" customHeight="1" x14ac:dyDescent="0.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</row>
    <row r="1037" spans="1:24" ht="75" customHeight="1" x14ac:dyDescent="0.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 spans="1:24" ht="75" customHeight="1" x14ac:dyDescent="0.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 spans="1:24" ht="75" customHeight="1" x14ac:dyDescent="0.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 spans="1:24" ht="75" customHeight="1" x14ac:dyDescent="0.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 spans="1:24" ht="75" customHeight="1" x14ac:dyDescent="0.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 spans="1:24" ht="75" customHeight="1" x14ac:dyDescent="0.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 spans="1:24" ht="75" customHeight="1" x14ac:dyDescent="0.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</sheetData>
  <autoFilter ref="A1:Z96" xr:uid="{00000000-0009-0000-0000-000000000000}"/>
  <pageMargins left="0.7" right="0.7" top="0.75" bottom="0.75" header="0.51181102362204689" footer="0.51181102362204689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EE8F-317F-40DE-91FD-38845705BFB3}">
  <dimension ref="A1"/>
  <sheetViews>
    <sheetView zoomScale="115" zoomScaleNormal="115" workbookViewId="0">
      <selection activeCell="R14" sqref="R1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papers</vt:lpstr>
      <vt:lpstr>Plot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Hama</dc:creator>
  <dc:description/>
  <cp:lastModifiedBy>GUSTAVO MISAWA HAMA</cp:lastModifiedBy>
  <cp:revision>323</cp:revision>
  <dcterms:created xsi:type="dcterms:W3CDTF">2025-08-27T20:58:53Z</dcterms:created>
  <dcterms:modified xsi:type="dcterms:W3CDTF">2026-02-06T11:20:05Z</dcterms:modified>
  <dc:language>en-US</dc:language>
</cp:coreProperties>
</file>